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obusb-my.sharepoint.com/personal/chunguk_one_co_zm/Documents/Documents/BI Tools/Portfolio Projects/Blu Container Financial Model/"/>
    </mc:Choice>
  </mc:AlternateContent>
  <xr:revisionPtr revIDLastSave="3204" documentId="8_{3126E2AC-D2A6-4E83-95A0-C86C9DA58E4E}" xr6:coauthVersionLast="47" xr6:coauthVersionMax="47" xr10:uidLastSave="{4D250422-1B7F-454F-A9D8-A3EA2B0DEE58}"/>
  <bookViews>
    <workbookView xWindow="-120" yWindow="-120" windowWidth="29040" windowHeight="15720" tabRatio="845" activeTab="4" xr2:uid="{00000000-000D-0000-FFFF-FFFF00000000}"/>
  </bookViews>
  <sheets>
    <sheet name="Cover" sheetId="29" r:id="rId1"/>
    <sheet name="Summary" sheetId="21" r:id="rId2"/>
    <sheet name="Assumptions" sheetId="2" r:id="rId3"/>
    <sheet name="Scenarios" sheetId="7" r:id="rId4"/>
    <sheet name="Model" sheetId="6" r:id="rId5"/>
  </sheets>
  <definedNames>
    <definedName name="_xlnm.Print_Area" localSheetId="2">Assumptions!$B$1:$O$42,Assumptions!$B$44:$O$75</definedName>
    <definedName name="_xlnm.Print_Area" localSheetId="0">Cover!$B$1:$G$29</definedName>
    <definedName name="_xlnm.Print_Area" localSheetId="4">Model!$B$1:$O$29,Model!$B$31:$O$70,Model!$B$72:$O$111,Model!$B$113:$O$145,Model!$B$147:$O$189,Model!$B$191:$O$218,Model!$B$220:$O$242,Model!$B$244:$O$276,Model!$B$278:$O$323,Model!$B$325:$O$348,Model!$B$350:$O$376,Model!$B$378:$O$399,Model!$B$401:$O$437</definedName>
    <definedName name="_xlnm.Print_Area" localSheetId="3">Scenarios!$B$1:$M$36</definedName>
    <definedName name="_xlnm.Print_Area" localSheetId="1">Summary!$B$1:$Q$67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2" l="1"/>
  <c r="B1" i="21"/>
  <c r="E15" i="29"/>
  <c r="O425" i="6"/>
  <c r="O64" i="21" l="1"/>
  <c r="N64" i="21"/>
  <c r="M64" i="21"/>
  <c r="L64" i="21"/>
  <c r="K64" i="21"/>
  <c r="J64" i="21"/>
  <c r="I64" i="21"/>
  <c r="O63" i="21"/>
  <c r="N63" i="21"/>
  <c r="M63" i="21"/>
  <c r="L63" i="21"/>
  <c r="K63" i="21"/>
  <c r="J63" i="21"/>
  <c r="I63" i="21"/>
  <c r="H63" i="21"/>
  <c r="O59" i="21"/>
  <c r="N59" i="21"/>
  <c r="M59" i="21"/>
  <c r="L59" i="21"/>
  <c r="K59" i="21"/>
  <c r="J59" i="21"/>
  <c r="I59" i="21"/>
  <c r="O58" i="21"/>
  <c r="N58" i="21"/>
  <c r="M58" i="21"/>
  <c r="L58" i="21"/>
  <c r="K58" i="21"/>
  <c r="J58" i="21"/>
  <c r="I58" i="21"/>
  <c r="H58" i="21"/>
  <c r="O54" i="21"/>
  <c r="N54" i="21"/>
  <c r="M54" i="21"/>
  <c r="L54" i="21"/>
  <c r="K54" i="21"/>
  <c r="J54" i="21"/>
  <c r="I54" i="21"/>
  <c r="O44" i="21"/>
  <c r="N44" i="21"/>
  <c r="M44" i="21"/>
  <c r="L44" i="21"/>
  <c r="K44" i="21"/>
  <c r="J44" i="21"/>
  <c r="I44" i="21"/>
  <c r="O43" i="21"/>
  <c r="N43" i="21"/>
  <c r="M43" i="21"/>
  <c r="L43" i="21"/>
  <c r="K43" i="21"/>
  <c r="J43" i="21"/>
  <c r="I43" i="21"/>
  <c r="H43" i="21"/>
  <c r="O39" i="21"/>
  <c r="N39" i="21"/>
  <c r="M39" i="21"/>
  <c r="L39" i="21"/>
  <c r="K39" i="21"/>
  <c r="J39" i="21"/>
  <c r="I39" i="21"/>
  <c r="O38" i="21"/>
  <c r="N38" i="21"/>
  <c r="M38" i="21"/>
  <c r="L38" i="21"/>
  <c r="K38" i="21"/>
  <c r="J38" i="21"/>
  <c r="I38" i="21"/>
  <c r="H38" i="21"/>
  <c r="O34" i="21"/>
  <c r="N34" i="21"/>
  <c r="M34" i="21"/>
  <c r="L34" i="21"/>
  <c r="K34" i="21"/>
  <c r="J34" i="21"/>
  <c r="I34" i="21"/>
  <c r="O23" i="21"/>
  <c r="N23" i="21"/>
  <c r="M23" i="21"/>
  <c r="L23" i="21"/>
  <c r="K23" i="21"/>
  <c r="J23" i="21"/>
  <c r="I23" i="21"/>
  <c r="O22" i="21"/>
  <c r="N22" i="21"/>
  <c r="M22" i="21"/>
  <c r="L22" i="21"/>
  <c r="K22" i="21"/>
  <c r="J22" i="21"/>
  <c r="I22" i="21"/>
  <c r="H22" i="21"/>
  <c r="O18" i="21"/>
  <c r="N18" i="21"/>
  <c r="M18" i="21"/>
  <c r="L18" i="21"/>
  <c r="K18" i="21"/>
  <c r="J18" i="21"/>
  <c r="I18" i="21"/>
  <c r="O17" i="21"/>
  <c r="N17" i="21"/>
  <c r="M17" i="21"/>
  <c r="L17" i="21"/>
  <c r="K17" i="21"/>
  <c r="J17" i="21"/>
  <c r="I17" i="21"/>
  <c r="H17" i="21"/>
  <c r="O13" i="21"/>
  <c r="N13" i="21"/>
  <c r="M13" i="21"/>
  <c r="L13" i="21"/>
  <c r="K13" i="21"/>
  <c r="J13" i="21"/>
  <c r="I13" i="21"/>
  <c r="K425" i="6" l="1"/>
  <c r="H125" i="6"/>
  <c r="O419" i="6"/>
  <c r="J391" i="6" l="1"/>
  <c r="J390" i="6"/>
  <c r="I165" i="6"/>
  <c r="J165" i="6"/>
  <c r="H165" i="6"/>
  <c r="J347" i="6"/>
  <c r="K344" i="6" s="1"/>
  <c r="K338" i="6"/>
  <c r="J336" i="6"/>
  <c r="K334" i="6" s="1"/>
  <c r="L335" i="6"/>
  <c r="L137" i="6" s="1"/>
  <c r="M335" i="6"/>
  <c r="M301" i="6" s="1"/>
  <c r="N335" i="6"/>
  <c r="N301" i="6" s="1"/>
  <c r="O335" i="6"/>
  <c r="O137" i="6" s="1"/>
  <c r="K335" i="6"/>
  <c r="K137" i="6" s="1"/>
  <c r="O309" i="6"/>
  <c r="N309" i="6"/>
  <c r="M309" i="6"/>
  <c r="L309" i="6"/>
  <c r="K309" i="6"/>
  <c r="O315" i="6"/>
  <c r="O300" i="6" s="1"/>
  <c r="N315" i="6"/>
  <c r="N300" i="6" s="1"/>
  <c r="M315" i="6"/>
  <c r="M136" i="6" s="1"/>
  <c r="L315" i="6"/>
  <c r="L136" i="6" s="1"/>
  <c r="K315" i="6"/>
  <c r="K136" i="6" s="1"/>
  <c r="O318" i="6"/>
  <c r="N318" i="6"/>
  <c r="M318" i="6"/>
  <c r="L318" i="6"/>
  <c r="K318" i="6"/>
  <c r="J291" i="6"/>
  <c r="K289" i="6" s="1"/>
  <c r="O293" i="6"/>
  <c r="N293" i="6"/>
  <c r="M293" i="6"/>
  <c r="L293" i="6"/>
  <c r="K293" i="6"/>
  <c r="J316" i="6"/>
  <c r="K314" i="6" s="1"/>
  <c r="J307" i="6"/>
  <c r="K305" i="6" s="1"/>
  <c r="M300" i="6" l="1"/>
  <c r="N137" i="6"/>
  <c r="M137" i="6"/>
  <c r="L301" i="6"/>
  <c r="K294" i="6"/>
  <c r="K300" i="6"/>
  <c r="L300" i="6"/>
  <c r="K336" i="6"/>
  <c r="K310" i="6"/>
  <c r="O301" i="6"/>
  <c r="N136" i="6"/>
  <c r="K319" i="6"/>
  <c r="K316" i="6"/>
  <c r="O136" i="6"/>
  <c r="K301" i="6"/>
  <c r="O264" i="6"/>
  <c r="N264" i="6"/>
  <c r="M264" i="6"/>
  <c r="L264" i="6"/>
  <c r="O263" i="6"/>
  <c r="N263" i="6"/>
  <c r="M263" i="6"/>
  <c r="L263" i="6"/>
  <c r="O262" i="6"/>
  <c r="N262" i="6"/>
  <c r="M262" i="6"/>
  <c r="L262" i="6"/>
  <c r="O261" i="6"/>
  <c r="N261" i="6"/>
  <c r="M261" i="6"/>
  <c r="L261" i="6"/>
  <c r="O260" i="6"/>
  <c r="N260" i="6"/>
  <c r="M260" i="6"/>
  <c r="L260" i="6"/>
  <c r="O259" i="6"/>
  <c r="N259" i="6"/>
  <c r="M259" i="6"/>
  <c r="L259" i="6"/>
  <c r="K264" i="6"/>
  <c r="K263" i="6"/>
  <c r="K262" i="6"/>
  <c r="K261" i="6"/>
  <c r="K260" i="6"/>
  <c r="K259" i="6"/>
  <c r="J272" i="6"/>
  <c r="J271" i="6"/>
  <c r="I272" i="6"/>
  <c r="I271" i="6"/>
  <c r="J270" i="6"/>
  <c r="J269" i="6"/>
  <c r="J268" i="6"/>
  <c r="J267" i="6"/>
  <c r="I270" i="6"/>
  <c r="I269" i="6"/>
  <c r="I268" i="6"/>
  <c r="I267" i="6"/>
  <c r="J256" i="6"/>
  <c r="I256" i="6"/>
  <c r="K231" i="6"/>
  <c r="O231" i="6"/>
  <c r="N231" i="6"/>
  <c r="M231" i="6"/>
  <c r="L231" i="6"/>
  <c r="E226" i="6"/>
  <c r="F200" i="6"/>
  <c r="J216" i="6"/>
  <c r="K202" i="6" s="1"/>
  <c r="L314" i="6" l="1"/>
  <c r="L316" i="6" s="1"/>
  <c r="K177" i="6"/>
  <c r="K322" i="6"/>
  <c r="K97" i="6" s="1"/>
  <c r="I273" i="6"/>
  <c r="L334" i="6"/>
  <c r="L336" i="6" s="1"/>
  <c r="K182" i="6"/>
  <c r="J273" i="6"/>
  <c r="L129" i="6"/>
  <c r="M129" i="6"/>
  <c r="N129" i="6"/>
  <c r="O129" i="6"/>
  <c r="K129" i="6"/>
  <c r="L130" i="6"/>
  <c r="M130" i="6"/>
  <c r="N130" i="6"/>
  <c r="O130" i="6"/>
  <c r="K130" i="6"/>
  <c r="K164" i="6" s="1"/>
  <c r="F199" i="6"/>
  <c r="K205" i="6" s="1"/>
  <c r="L91" i="6"/>
  <c r="M91" i="6"/>
  <c r="N91" i="6"/>
  <c r="O91" i="6"/>
  <c r="K91" i="6"/>
  <c r="K88" i="6"/>
  <c r="K203" i="6" l="1"/>
  <c r="K391" i="6"/>
  <c r="O203" i="6"/>
  <c r="O391" i="6"/>
  <c r="N203" i="6"/>
  <c r="N391" i="6"/>
  <c r="M203" i="6"/>
  <c r="M391" i="6"/>
  <c r="L203" i="6"/>
  <c r="L391" i="6"/>
  <c r="L164" i="6"/>
  <c r="M164" i="6" s="1"/>
  <c r="N164" i="6" s="1"/>
  <c r="O164" i="6" s="1"/>
  <c r="L319" i="6"/>
  <c r="M334" i="6"/>
  <c r="M336" i="6" s="1"/>
  <c r="L182" i="6"/>
  <c r="J275" i="6"/>
  <c r="J392" i="6" s="1"/>
  <c r="M314" i="6"/>
  <c r="L177" i="6"/>
  <c r="O131" i="6"/>
  <c r="O299" i="6" s="1"/>
  <c r="L131" i="6"/>
  <c r="L299" i="6" s="1"/>
  <c r="N131" i="6"/>
  <c r="N299" i="6" s="1"/>
  <c r="M131" i="6"/>
  <c r="M299" i="6" s="1"/>
  <c r="K131" i="6"/>
  <c r="K299" i="6" s="1"/>
  <c r="K66" i="6"/>
  <c r="K65" i="6"/>
  <c r="K64" i="6"/>
  <c r="K44" i="6"/>
  <c r="K45" i="6"/>
  <c r="K17" i="6"/>
  <c r="M316" i="6" l="1"/>
  <c r="M319" i="6"/>
  <c r="N334" i="6"/>
  <c r="N336" i="6" s="1"/>
  <c r="M182" i="6"/>
  <c r="K46" i="6"/>
  <c r="K67" i="6"/>
  <c r="I12" i="7" a="1"/>
  <c r="I12" i="7" s="1"/>
  <c r="L11" i="6" s="1"/>
  <c r="O334" i="6" l="1"/>
  <c r="O336" i="6" s="1"/>
  <c r="O182" i="6" s="1"/>
  <c r="N182" i="6"/>
  <c r="N314" i="6"/>
  <c r="M177" i="6"/>
  <c r="L30" i="7" a="1"/>
  <c r="L30" i="7" s="1"/>
  <c r="O19" i="6" s="1"/>
  <c r="K30" i="7" a="1"/>
  <c r="K30" i="7" s="1"/>
  <c r="N19" i="6" s="1"/>
  <c r="J30" i="7" a="1"/>
  <c r="J30" i="7" s="1"/>
  <c r="M19" i="6" s="1"/>
  <c r="I30" i="7" a="1"/>
  <c r="I30" i="7" s="1"/>
  <c r="L19" i="6" s="1"/>
  <c r="H30" i="7" a="1"/>
  <c r="H30" i="7" s="1"/>
  <c r="K19" i="6" s="1"/>
  <c r="J12" i="7" a="1"/>
  <c r="J12" i="7" s="1"/>
  <c r="M11" i="6" s="1"/>
  <c r="M40" i="6" s="1"/>
  <c r="K12" i="7" a="1"/>
  <c r="K12" i="7" s="1"/>
  <c r="N11" i="6" s="1"/>
  <c r="N40" i="6" s="1"/>
  <c r="L12" i="7" a="1"/>
  <c r="L12" i="7" s="1"/>
  <c r="O11" i="6" s="1"/>
  <c r="O40" i="6" s="1"/>
  <c r="H12" i="7" a="1"/>
  <c r="H12" i="7" s="1"/>
  <c r="K11" i="6" s="1"/>
  <c r="J27" i="6"/>
  <c r="J26" i="6"/>
  <c r="B27" i="7"/>
  <c r="L27" i="7" s="1"/>
  <c r="B26" i="7"/>
  <c r="L26" i="7" s="1"/>
  <c r="L23" i="7" s="1" a="1"/>
  <c r="L23" i="7" s="1"/>
  <c r="O10" i="6" s="1"/>
  <c r="B44" i="2"/>
  <c r="I184" i="6"/>
  <c r="H184" i="6"/>
  <c r="I178" i="6"/>
  <c r="H178" i="6"/>
  <c r="I174" i="6"/>
  <c r="I375" i="6" s="1"/>
  <c r="H174" i="6"/>
  <c r="H375" i="6" s="1"/>
  <c r="I161" i="6"/>
  <c r="H161" i="6"/>
  <c r="J139" i="6"/>
  <c r="I139" i="6"/>
  <c r="H139" i="6"/>
  <c r="J85" i="6"/>
  <c r="I85" i="6"/>
  <c r="H85" i="6"/>
  <c r="X12" i="21" s="1"/>
  <c r="L338" i="6"/>
  <c r="M338" i="6" s="1"/>
  <c r="N338" i="6" s="1"/>
  <c r="O338" i="6" s="1"/>
  <c r="D237" i="6"/>
  <c r="L205" i="6"/>
  <c r="J184" i="6"/>
  <c r="J178" i="6"/>
  <c r="J174" i="6"/>
  <c r="J375" i="6" s="1"/>
  <c r="J161" i="6"/>
  <c r="J131" i="6"/>
  <c r="I131" i="6"/>
  <c r="H131" i="6"/>
  <c r="J102" i="6"/>
  <c r="I102" i="6"/>
  <c r="H102" i="6"/>
  <c r="D66" i="6"/>
  <c r="D50" i="6"/>
  <c r="D65" i="6" s="1"/>
  <c r="D49" i="6"/>
  <c r="D64" i="6" s="1"/>
  <c r="D45" i="6"/>
  <c r="D60" i="6" s="1"/>
  <c r="D44" i="6"/>
  <c r="D59" i="6" s="1"/>
  <c r="L17" i="6"/>
  <c r="M17" i="6" s="1"/>
  <c r="N17" i="6" s="1"/>
  <c r="O17" i="6" s="1"/>
  <c r="J13" i="6"/>
  <c r="J9" i="2"/>
  <c r="J48" i="2"/>
  <c r="K48" i="2" s="1"/>
  <c r="L48" i="2" s="1"/>
  <c r="M48" i="2" s="1"/>
  <c r="N48" i="2" s="1"/>
  <c r="H6" i="7"/>
  <c r="I6" i="7" s="1"/>
  <c r="L7" i="6" s="1"/>
  <c r="L407" i="6" s="1"/>
  <c r="D14" i="7"/>
  <c r="D25" i="7" s="1"/>
  <c r="E26" i="2"/>
  <c r="D15" i="7"/>
  <c r="D33" i="7" s="1"/>
  <c r="D16" i="7"/>
  <c r="D34" i="7" s="1"/>
  <c r="H89" i="6"/>
  <c r="I89" i="6"/>
  <c r="I125" i="6"/>
  <c r="J89" i="6"/>
  <c r="J125" i="6"/>
  <c r="D234" i="6"/>
  <c r="L40" i="6"/>
  <c r="L88" i="6" s="1"/>
  <c r="I371" i="6" l="1"/>
  <c r="I370" i="6"/>
  <c r="Z12" i="21"/>
  <c r="J359" i="6"/>
  <c r="J167" i="6"/>
  <c r="J374" i="6"/>
  <c r="J373" i="6"/>
  <c r="H373" i="6"/>
  <c r="H374" i="6"/>
  <c r="I359" i="6"/>
  <c r="I373" i="6"/>
  <c r="I374" i="6"/>
  <c r="J370" i="6"/>
  <c r="J371" i="6"/>
  <c r="H370" i="6"/>
  <c r="H371" i="6"/>
  <c r="J20" i="6"/>
  <c r="J80" i="6" s="1"/>
  <c r="L356" i="6"/>
  <c r="L384" i="6"/>
  <c r="B1" i="2"/>
  <c r="C1" i="7" s="1"/>
  <c r="B2" i="6" s="1"/>
  <c r="I26" i="7"/>
  <c r="D32" i="7"/>
  <c r="O1" i="6"/>
  <c r="I255" i="6"/>
  <c r="Y12" i="21"/>
  <c r="Y13" i="21" s="1"/>
  <c r="N316" i="6"/>
  <c r="N319" i="6"/>
  <c r="J92" i="6"/>
  <c r="J255" i="6"/>
  <c r="H92" i="6"/>
  <c r="M205" i="6"/>
  <c r="M88" i="6"/>
  <c r="N88" i="6" s="1"/>
  <c r="O88" i="6" s="1"/>
  <c r="L45" i="6"/>
  <c r="L66" i="6"/>
  <c r="L65" i="6"/>
  <c r="L64" i="6"/>
  <c r="L44" i="6"/>
  <c r="K40" i="6"/>
  <c r="K12" i="6"/>
  <c r="L12" i="6" s="1"/>
  <c r="M12" i="6" s="1"/>
  <c r="N12" i="6" s="1"/>
  <c r="O12" i="6" s="1"/>
  <c r="O13" i="6" s="1"/>
  <c r="H167" i="6"/>
  <c r="I180" i="6"/>
  <c r="I186" i="6" s="1"/>
  <c r="I167" i="6"/>
  <c r="J142" i="6"/>
  <c r="H180" i="6"/>
  <c r="H186" i="6" s="1"/>
  <c r="H142" i="6"/>
  <c r="H144" i="6" s="1"/>
  <c r="I143" i="6" s="1"/>
  <c r="J180" i="6"/>
  <c r="J186" i="6" s="1"/>
  <c r="I92" i="6"/>
  <c r="J28" i="6"/>
  <c r="I142" i="6"/>
  <c r="T5" i="21"/>
  <c r="H26" i="7"/>
  <c r="H23" i="7" s="1" a="1"/>
  <c r="H23" i="7" s="1"/>
  <c r="K10" i="6" s="1"/>
  <c r="J27" i="7"/>
  <c r="J26" i="7"/>
  <c r="J23" i="7" s="1" a="1"/>
  <c r="J23" i="7" s="1"/>
  <c r="M10" i="6" s="1"/>
  <c r="K26" i="7"/>
  <c r="H27" i="7"/>
  <c r="I27" i="7"/>
  <c r="K27" i="7"/>
  <c r="J6" i="7"/>
  <c r="L226" i="6"/>
  <c r="AB7" i="21"/>
  <c r="L7" i="21" s="1"/>
  <c r="L28" i="21" s="1"/>
  <c r="L49" i="21" s="1"/>
  <c r="L153" i="6"/>
  <c r="L284" i="6"/>
  <c r="L197" i="6"/>
  <c r="L119" i="6"/>
  <c r="L37" i="6"/>
  <c r="L78" i="6"/>
  <c r="L250" i="6"/>
  <c r="L331" i="6"/>
  <c r="K7" i="6"/>
  <c r="K407" i="6" s="1"/>
  <c r="O378" i="6" l="1"/>
  <c r="O350" i="6"/>
  <c r="H95" i="6"/>
  <c r="H98" i="6" s="1"/>
  <c r="H104" i="6" s="1"/>
  <c r="H367" i="6"/>
  <c r="H368" i="6"/>
  <c r="H360" i="6"/>
  <c r="H369" i="6"/>
  <c r="J95" i="6"/>
  <c r="J387" i="6" s="1"/>
  <c r="J367" i="6"/>
  <c r="J360" i="6"/>
  <c r="J368" i="6"/>
  <c r="J369" i="6"/>
  <c r="I360" i="6"/>
  <c r="I367" i="6"/>
  <c r="I368" i="6"/>
  <c r="I369" i="6"/>
  <c r="J39" i="6"/>
  <c r="K23" i="7" a="1"/>
  <c r="K23" i="7" s="1"/>
  <c r="N10" i="6" s="1"/>
  <c r="N13" i="6" s="1"/>
  <c r="I23" i="7" a="1"/>
  <c r="I23" i="7" s="1"/>
  <c r="L10" i="6" s="1"/>
  <c r="L13" i="6" s="1"/>
  <c r="K20" i="6"/>
  <c r="K26" i="6" s="1"/>
  <c r="K83" i="6" s="1"/>
  <c r="O401" i="6"/>
  <c r="B279" i="6"/>
  <c r="B402" i="6"/>
  <c r="J98" i="6"/>
  <c r="J104" i="6" s="1"/>
  <c r="B351" i="6"/>
  <c r="B379" i="6"/>
  <c r="B114" i="6"/>
  <c r="B326" i="6"/>
  <c r="B245" i="6"/>
  <c r="K356" i="6"/>
  <c r="K384" i="6"/>
  <c r="B192" i="6"/>
  <c r="B73" i="6"/>
  <c r="B221" i="6"/>
  <c r="B32" i="6"/>
  <c r="B148" i="6"/>
  <c r="O325" i="6"/>
  <c r="O244" i="6"/>
  <c r="O31" i="6"/>
  <c r="O220" i="6"/>
  <c r="O147" i="6"/>
  <c r="O113" i="6"/>
  <c r="O191" i="6"/>
  <c r="O278" i="6"/>
  <c r="O72" i="6"/>
  <c r="H108" i="6"/>
  <c r="X16" i="21"/>
  <c r="X17" i="21" s="1"/>
  <c r="Z16" i="21"/>
  <c r="I95" i="6"/>
  <c r="Y16" i="21"/>
  <c r="O314" i="6"/>
  <c r="N177" i="6"/>
  <c r="Z13" i="21"/>
  <c r="J188" i="6"/>
  <c r="N205" i="6"/>
  <c r="I144" i="6"/>
  <c r="J143" i="6" s="1"/>
  <c r="J144" i="6" s="1"/>
  <c r="K143" i="6" s="1"/>
  <c r="L46" i="6"/>
  <c r="M44" i="6"/>
  <c r="L67" i="6"/>
  <c r="M64" i="6"/>
  <c r="M65" i="6"/>
  <c r="M66" i="6"/>
  <c r="M45" i="6"/>
  <c r="M13" i="6"/>
  <c r="K13" i="6"/>
  <c r="H188" i="6"/>
  <c r="I188" i="6"/>
  <c r="J108" i="6"/>
  <c r="I108" i="6"/>
  <c r="K6" i="7"/>
  <c r="M7" i="6"/>
  <c r="M407" i="6" s="1"/>
  <c r="J7" i="6"/>
  <c r="J407" i="6" s="1"/>
  <c r="K331" i="6"/>
  <c r="K37" i="6"/>
  <c r="K250" i="6"/>
  <c r="L252" i="6" s="1"/>
  <c r="K119" i="6"/>
  <c r="K284" i="6"/>
  <c r="AA7" i="21"/>
  <c r="K7" i="21" s="1"/>
  <c r="K28" i="21" s="1"/>
  <c r="K49" i="21" s="1"/>
  <c r="K78" i="6"/>
  <c r="K197" i="6"/>
  <c r="K226" i="6"/>
  <c r="K153" i="6"/>
  <c r="H109" i="6" l="1"/>
  <c r="K22" i="6"/>
  <c r="K39" i="6"/>
  <c r="K80" i="6" s="1"/>
  <c r="L20" i="6"/>
  <c r="L22" i="6" s="1"/>
  <c r="J361" i="6"/>
  <c r="J365" i="6"/>
  <c r="J362" i="6"/>
  <c r="J364" i="6"/>
  <c r="J109" i="6"/>
  <c r="H364" i="6"/>
  <c r="H362" i="6"/>
  <c r="I98" i="6"/>
  <c r="I104" i="6" s="1"/>
  <c r="I365" i="6"/>
  <c r="I361" i="6"/>
  <c r="H365" i="6"/>
  <c r="H361" i="6"/>
  <c r="K27" i="6"/>
  <c r="K84" i="6" s="1"/>
  <c r="K85" i="6" s="1"/>
  <c r="X21" i="21"/>
  <c r="X22" i="21" s="1"/>
  <c r="H110" i="6"/>
  <c r="J388" i="6"/>
  <c r="J389" i="6" s="1"/>
  <c r="J393" i="6" s="1"/>
  <c r="J408" i="6" s="1"/>
  <c r="J412" i="6" s="1"/>
  <c r="J414" i="6" s="1"/>
  <c r="J356" i="6"/>
  <c r="J384" i="6"/>
  <c r="M356" i="6"/>
  <c r="M384" i="6"/>
  <c r="I109" i="6"/>
  <c r="Z18" i="21"/>
  <c r="Z17" i="21"/>
  <c r="O319" i="6"/>
  <c r="O316" i="6"/>
  <c r="O177" i="6" s="1"/>
  <c r="J110" i="6"/>
  <c r="Z21" i="21"/>
  <c r="Y17" i="21"/>
  <c r="Y18" i="21"/>
  <c r="D208" i="6"/>
  <c r="O205" i="6"/>
  <c r="M67" i="6"/>
  <c r="N64" i="6"/>
  <c r="N65" i="6"/>
  <c r="N45" i="6"/>
  <c r="N66" i="6"/>
  <c r="N44" i="6"/>
  <c r="M46" i="6"/>
  <c r="M250" i="6"/>
  <c r="M252" i="6" s="1"/>
  <c r="M284" i="6"/>
  <c r="M153" i="6"/>
  <c r="M331" i="6"/>
  <c r="M197" i="6"/>
  <c r="AC7" i="21"/>
  <c r="M7" i="21" s="1"/>
  <c r="M28" i="21" s="1"/>
  <c r="M49" i="21" s="1"/>
  <c r="M119" i="6"/>
  <c r="M37" i="6"/>
  <c r="M226" i="6"/>
  <c r="M78" i="6"/>
  <c r="N7" i="6"/>
  <c r="N407" i="6" s="1"/>
  <c r="L6" i="7"/>
  <c r="J197" i="6"/>
  <c r="J78" i="6"/>
  <c r="J250" i="6"/>
  <c r="K252" i="6" s="1"/>
  <c r="J119" i="6"/>
  <c r="J284" i="6"/>
  <c r="J331" i="6"/>
  <c r="I7" i="6"/>
  <c r="I356" i="6" s="1"/>
  <c r="J37" i="6"/>
  <c r="Z7" i="21"/>
  <c r="J7" i="21" s="1"/>
  <c r="J28" i="21" s="1"/>
  <c r="J49" i="21" s="1"/>
  <c r="J153" i="6"/>
  <c r="K60" i="6" l="1"/>
  <c r="K51" i="6"/>
  <c r="K59" i="6"/>
  <c r="K50" i="6"/>
  <c r="L39" i="6"/>
  <c r="L60" i="6" s="1"/>
  <c r="K49" i="6"/>
  <c r="M20" i="6"/>
  <c r="M26" i="6" s="1"/>
  <c r="M83" i="6" s="1"/>
  <c r="L27" i="6"/>
  <c r="L84" i="6" s="1"/>
  <c r="L26" i="6"/>
  <c r="L83" i="6" s="1"/>
  <c r="I362" i="6"/>
  <c r="I364" i="6"/>
  <c r="Y21" i="21"/>
  <c r="Y22" i="21" s="1"/>
  <c r="I110" i="6"/>
  <c r="AA12" i="21"/>
  <c r="AA13" i="21" s="1"/>
  <c r="K359" i="6"/>
  <c r="K28" i="6"/>
  <c r="N356" i="6"/>
  <c r="N384" i="6"/>
  <c r="Z22" i="21"/>
  <c r="L49" i="6"/>
  <c r="L80" i="6"/>
  <c r="K255" i="6"/>
  <c r="K267" i="6" s="1"/>
  <c r="K157" i="6" s="1"/>
  <c r="D209" i="6"/>
  <c r="E208" i="6"/>
  <c r="O44" i="6"/>
  <c r="N46" i="6"/>
  <c r="O66" i="6"/>
  <c r="O45" i="6"/>
  <c r="O65" i="6"/>
  <c r="N67" i="6"/>
  <c r="O64" i="6"/>
  <c r="N153" i="6"/>
  <c r="N37" i="6"/>
  <c r="N331" i="6"/>
  <c r="N226" i="6"/>
  <c r="N250" i="6"/>
  <c r="N252" i="6" s="1"/>
  <c r="N78" i="6"/>
  <c r="N284" i="6"/>
  <c r="AD7" i="21"/>
  <c r="N7" i="21" s="1"/>
  <c r="N28" i="21" s="1"/>
  <c r="N49" i="21" s="1"/>
  <c r="N197" i="6"/>
  <c r="N119" i="6"/>
  <c r="O7" i="6"/>
  <c r="O407" i="6" s="1"/>
  <c r="E17" i="2"/>
  <c r="I197" i="6"/>
  <c r="I78" i="6"/>
  <c r="I250" i="6"/>
  <c r="I119" i="6"/>
  <c r="I37" i="6"/>
  <c r="H7" i="6"/>
  <c r="H356" i="6" s="1"/>
  <c r="I153" i="6"/>
  <c r="Y7" i="21"/>
  <c r="I7" i="21" s="1"/>
  <c r="I28" i="21" s="1"/>
  <c r="I49" i="21" s="1"/>
  <c r="M27" i="6" l="1"/>
  <c r="M84" i="6" s="1"/>
  <c r="M85" i="6" s="1"/>
  <c r="N20" i="6"/>
  <c r="O20" i="6" s="1"/>
  <c r="O39" i="6" s="1"/>
  <c r="K61" i="6"/>
  <c r="K69" i="6" s="1"/>
  <c r="K87" i="6" s="1"/>
  <c r="K89" i="6" s="1"/>
  <c r="K92" i="6" s="1"/>
  <c r="K360" i="6" s="1"/>
  <c r="K52" i="6"/>
  <c r="K54" i="6" s="1"/>
  <c r="L85" i="6"/>
  <c r="L359" i="6" s="1"/>
  <c r="L51" i="6"/>
  <c r="L59" i="6"/>
  <c r="L61" i="6" s="1"/>
  <c r="L69" i="6" s="1"/>
  <c r="L87" i="6" s="1"/>
  <c r="L256" i="6" s="1"/>
  <c r="L50" i="6"/>
  <c r="M22" i="6"/>
  <c r="Y23" i="21"/>
  <c r="L28" i="6"/>
  <c r="M39" i="6"/>
  <c r="M59" i="6" s="1"/>
  <c r="Z23" i="21"/>
  <c r="O356" i="6"/>
  <c r="O384" i="6"/>
  <c r="J252" i="6"/>
  <c r="J259" i="6" s="1"/>
  <c r="D210" i="6"/>
  <c r="E209" i="6"/>
  <c r="L209" i="6" s="1"/>
  <c r="M209" i="6" s="1"/>
  <c r="N209" i="6" s="1"/>
  <c r="K208" i="6"/>
  <c r="K214" i="6" s="1"/>
  <c r="O67" i="6"/>
  <c r="O46" i="6"/>
  <c r="O153" i="6"/>
  <c r="O284" i="6"/>
  <c r="O197" i="6"/>
  <c r="O226" i="6"/>
  <c r="O78" i="6"/>
  <c r="O37" i="6"/>
  <c r="AE7" i="21"/>
  <c r="O7" i="21" s="1"/>
  <c r="O28" i="21" s="1"/>
  <c r="O49" i="21" s="1"/>
  <c r="O331" i="6"/>
  <c r="O250" i="6"/>
  <c r="O252" i="6" s="1"/>
  <c r="O119" i="6"/>
  <c r="H78" i="6"/>
  <c r="H250" i="6"/>
  <c r="I252" i="6" s="1"/>
  <c r="H37" i="6"/>
  <c r="H153" i="6"/>
  <c r="H119" i="6"/>
  <c r="H197" i="6"/>
  <c r="X7" i="21"/>
  <c r="H7" i="21" s="1"/>
  <c r="H28" i="21" s="1"/>
  <c r="H49" i="21" s="1"/>
  <c r="AB12" i="21" l="1"/>
  <c r="AB13" i="21" s="1"/>
  <c r="L255" i="6"/>
  <c r="L267" i="6" s="1"/>
  <c r="L157" i="6" s="1"/>
  <c r="O27" i="6"/>
  <c r="O84" i="6" s="1"/>
  <c r="O22" i="6"/>
  <c r="O26" i="6"/>
  <c r="O83" i="6" s="1"/>
  <c r="N39" i="6"/>
  <c r="N60" i="6" s="1"/>
  <c r="M28" i="6"/>
  <c r="N26" i="6"/>
  <c r="N83" i="6" s="1"/>
  <c r="N27" i="6"/>
  <c r="N84" i="6" s="1"/>
  <c r="N22" i="6"/>
  <c r="K108" i="6"/>
  <c r="AA16" i="21"/>
  <c r="AA18" i="21" s="1"/>
  <c r="K369" i="6"/>
  <c r="K256" i="6"/>
  <c r="K268" i="6" s="1"/>
  <c r="K158" i="6" s="1"/>
  <c r="L89" i="6"/>
  <c r="L92" i="6" s="1"/>
  <c r="L360" i="6" s="1"/>
  <c r="L52" i="6"/>
  <c r="L54" i="6" s="1"/>
  <c r="M50" i="6"/>
  <c r="M49" i="6"/>
  <c r="M80" i="6"/>
  <c r="M51" i="6"/>
  <c r="M60" i="6"/>
  <c r="M61" i="6" s="1"/>
  <c r="M69" i="6" s="1"/>
  <c r="M87" i="6" s="1"/>
  <c r="M89" i="6" s="1"/>
  <c r="M92" i="6" s="1"/>
  <c r="M255" i="6"/>
  <c r="M267" i="6" s="1"/>
  <c r="M157" i="6" s="1"/>
  <c r="M359" i="6"/>
  <c r="N49" i="6"/>
  <c r="AC12" i="21"/>
  <c r="L270" i="6"/>
  <c r="L160" i="6" s="1"/>
  <c r="L268" i="6"/>
  <c r="L158" i="6" s="1"/>
  <c r="L271" i="6"/>
  <c r="L172" i="6" s="1"/>
  <c r="L269" i="6"/>
  <c r="L159" i="6" s="1"/>
  <c r="L272" i="6"/>
  <c r="L173" i="6" s="1"/>
  <c r="J263" i="6"/>
  <c r="J264" i="6"/>
  <c r="I262" i="6"/>
  <c r="J261" i="6"/>
  <c r="I260" i="6"/>
  <c r="J260" i="6"/>
  <c r="J262" i="6"/>
  <c r="I261" i="6"/>
  <c r="I264" i="6"/>
  <c r="I263" i="6"/>
  <c r="I259" i="6"/>
  <c r="K216" i="6"/>
  <c r="K94" i="6"/>
  <c r="K390" i="6" s="1"/>
  <c r="O209" i="6"/>
  <c r="L208" i="6"/>
  <c r="M208" i="6" s="1"/>
  <c r="D211" i="6"/>
  <c r="E210" i="6"/>
  <c r="O60" i="6"/>
  <c r="O80" i="6"/>
  <c r="O50" i="6"/>
  <c r="O51" i="6"/>
  <c r="O49" i="6"/>
  <c r="O59" i="6"/>
  <c r="N51" i="6" l="1"/>
  <c r="M52" i="6"/>
  <c r="M54" i="6" s="1"/>
  <c r="N85" i="6"/>
  <c r="AC13" i="21"/>
  <c r="N59" i="6"/>
  <c r="N61" i="6" s="1"/>
  <c r="N69" i="6" s="1"/>
  <c r="N87" i="6" s="1"/>
  <c r="N89" i="6" s="1"/>
  <c r="O85" i="6"/>
  <c r="AE12" i="21" s="1"/>
  <c r="O28" i="6"/>
  <c r="N80" i="6"/>
  <c r="N50" i="6"/>
  <c r="K271" i="6"/>
  <c r="K172" i="6" s="1"/>
  <c r="K269" i="6"/>
  <c r="K159" i="6" s="1"/>
  <c r="N28" i="6"/>
  <c r="K272" i="6"/>
  <c r="K173" i="6" s="1"/>
  <c r="M256" i="6"/>
  <c r="M268" i="6" s="1"/>
  <c r="M158" i="6" s="1"/>
  <c r="L108" i="6"/>
  <c r="K270" i="6"/>
  <c r="K160" i="6" s="1"/>
  <c r="AB16" i="21"/>
  <c r="AB18" i="21" s="1"/>
  <c r="AA17" i="21"/>
  <c r="M360" i="6"/>
  <c r="L202" i="6"/>
  <c r="K163" i="6"/>
  <c r="K165" i="6" s="1"/>
  <c r="N52" i="6"/>
  <c r="N54" i="6" s="1"/>
  <c r="AC16" i="21"/>
  <c r="O255" i="6"/>
  <c r="O267" i="6" s="1"/>
  <c r="O157" i="6" s="1"/>
  <c r="M108" i="6"/>
  <c r="L273" i="6"/>
  <c r="K122" i="6"/>
  <c r="K95" i="6"/>
  <c r="L214" i="6"/>
  <c r="D212" i="6"/>
  <c r="E211" i="6"/>
  <c r="N211" i="6" s="1"/>
  <c r="O211" i="6" s="1"/>
  <c r="O61" i="6"/>
  <c r="O69" i="6" s="1"/>
  <c r="O87" i="6" s="1"/>
  <c r="M210" i="6"/>
  <c r="N210" i="6" s="1"/>
  <c r="O210" i="6" s="1"/>
  <c r="N208" i="6"/>
  <c r="O208" i="6" s="1"/>
  <c r="O52" i="6"/>
  <c r="O54" i="6" s="1"/>
  <c r="O359" i="6" l="1"/>
  <c r="N92" i="6"/>
  <c r="N108" i="6" s="1"/>
  <c r="N256" i="6"/>
  <c r="N272" i="6" s="1"/>
  <c r="N173" i="6" s="1"/>
  <c r="AD12" i="21"/>
  <c r="AD13" i="21" s="1"/>
  <c r="N359" i="6"/>
  <c r="N255" i="6"/>
  <c r="N267" i="6" s="1"/>
  <c r="N157" i="6" s="1"/>
  <c r="AB17" i="21"/>
  <c r="M269" i="6"/>
  <c r="M159" i="6" s="1"/>
  <c r="M272" i="6"/>
  <c r="M173" i="6" s="1"/>
  <c r="K273" i="6"/>
  <c r="K275" i="6" s="1"/>
  <c r="K124" i="6" s="1"/>
  <c r="M271" i="6"/>
  <c r="M172" i="6" s="1"/>
  <c r="M270" i="6"/>
  <c r="M160" i="6" s="1"/>
  <c r="K387" i="6"/>
  <c r="K388" i="6" s="1"/>
  <c r="K361" i="6"/>
  <c r="AC17" i="21"/>
  <c r="AC18" i="21"/>
  <c r="L216" i="6"/>
  <c r="L94" i="6"/>
  <c r="L390" i="6" s="1"/>
  <c r="K98" i="6"/>
  <c r="K229" i="6" s="1"/>
  <c r="K109" i="6"/>
  <c r="O89" i="6"/>
  <c r="O92" i="6" s="1"/>
  <c r="O256" i="6"/>
  <c r="M214" i="6"/>
  <c r="E212" i="6"/>
  <c r="O212" i="6" s="1"/>
  <c r="O214" i="6" s="1"/>
  <c r="O94" i="6" s="1"/>
  <c r="N214" i="6"/>
  <c r="N94" i="6" s="1"/>
  <c r="N390" i="6" s="1"/>
  <c r="AE13" i="21" l="1"/>
  <c r="N360" i="6"/>
  <c r="N271" i="6"/>
  <c r="N172" i="6" s="1"/>
  <c r="N268" i="6"/>
  <c r="N158" i="6" s="1"/>
  <c r="AD16" i="21"/>
  <c r="AD18" i="21" s="1"/>
  <c r="N270" i="6"/>
  <c r="N160" i="6" s="1"/>
  <c r="N269" i="6"/>
  <c r="N159" i="6" s="1"/>
  <c r="L275" i="6"/>
  <c r="L392" i="6" s="1"/>
  <c r="K392" i="6"/>
  <c r="M273" i="6"/>
  <c r="M275" i="6" s="1"/>
  <c r="O409" i="6"/>
  <c r="O413" i="6" s="1"/>
  <c r="J419" i="6" s="1"/>
  <c r="O360" i="6"/>
  <c r="O122" i="6"/>
  <c r="O390" i="6"/>
  <c r="M202" i="6"/>
  <c r="M216" i="6" s="1"/>
  <c r="L163" i="6"/>
  <c r="L165" i="6" s="1"/>
  <c r="AE16" i="21"/>
  <c r="O272" i="6"/>
  <c r="O173" i="6" s="1"/>
  <c r="O269" i="6"/>
  <c r="O159" i="6" s="1"/>
  <c r="O268" i="6"/>
  <c r="O158" i="6" s="1"/>
  <c r="O271" i="6"/>
  <c r="O172" i="6" s="1"/>
  <c r="O270" i="6"/>
  <c r="O160" i="6" s="1"/>
  <c r="O95" i="6"/>
  <c r="O108" i="6"/>
  <c r="N122" i="6"/>
  <c r="N95" i="6"/>
  <c r="K232" i="6"/>
  <c r="K237" i="6" s="1"/>
  <c r="K234" i="6"/>
  <c r="L122" i="6"/>
  <c r="L95" i="6"/>
  <c r="M94" i="6"/>
  <c r="M390" i="6" s="1"/>
  <c r="L124" i="6" l="1"/>
  <c r="AD17" i="21"/>
  <c r="N273" i="6"/>
  <c r="N275" i="6" s="1"/>
  <c r="N392" i="6" s="1"/>
  <c r="L361" i="6"/>
  <c r="N361" i="6"/>
  <c r="O361" i="6"/>
  <c r="L109" i="6"/>
  <c r="L387" i="6"/>
  <c r="L388" i="6" s="1"/>
  <c r="O109" i="6"/>
  <c r="O387" i="6"/>
  <c r="O388" i="6" s="1"/>
  <c r="N109" i="6"/>
  <c r="N387" i="6"/>
  <c r="N388" i="6" s="1"/>
  <c r="M124" i="6"/>
  <c r="M392" i="6"/>
  <c r="N202" i="6"/>
  <c r="N216" i="6" s="1"/>
  <c r="M163" i="6"/>
  <c r="M165" i="6" s="1"/>
  <c r="AE18" i="21"/>
  <c r="AE17" i="21"/>
  <c r="K100" i="6"/>
  <c r="M122" i="6"/>
  <c r="M95" i="6"/>
  <c r="O273" i="6"/>
  <c r="K238" i="6"/>
  <c r="O275" i="6" l="1"/>
  <c r="O392" i="6" s="1"/>
  <c r="N124" i="6"/>
  <c r="M361" i="6"/>
  <c r="M109" i="6"/>
  <c r="M387" i="6"/>
  <c r="M388" i="6" s="1"/>
  <c r="O202" i="6"/>
  <c r="O216" i="6" s="1"/>
  <c r="O163" i="6" s="1"/>
  <c r="O165" i="6" s="1"/>
  <c r="N163" i="6"/>
  <c r="N165" i="6" s="1"/>
  <c r="K101" i="6"/>
  <c r="K123" i="6" s="1"/>
  <c r="K176" i="6"/>
  <c r="K239" i="6"/>
  <c r="O124" i="6" l="1"/>
  <c r="K102" i="6"/>
  <c r="K178" i="6"/>
  <c r="K104" i="6" l="1"/>
  <c r="K389" i="6"/>
  <c r="K393" i="6" s="1"/>
  <c r="K408" i="6" s="1"/>
  <c r="K412" i="6" s="1"/>
  <c r="K339" i="6" l="1"/>
  <c r="K340" i="6" s="1"/>
  <c r="K346" i="6" s="1"/>
  <c r="K362" i="6"/>
  <c r="K414" i="6"/>
  <c r="K121" i="6"/>
  <c r="K125" i="6" s="1"/>
  <c r="K298" i="6" s="1"/>
  <c r="AA21" i="21"/>
  <c r="AA23" i="21" s="1"/>
  <c r="K345" i="6"/>
  <c r="K138" i="6" l="1"/>
  <c r="K302" i="6"/>
  <c r="K303" i="6" s="1"/>
  <c r="K306" i="6" s="1"/>
  <c r="K135" i="6" s="1"/>
  <c r="K347" i="6"/>
  <c r="L344" i="6" s="1"/>
  <c r="AA22" i="21"/>
  <c r="K139" i="6" l="1"/>
  <c r="K142" i="6" s="1"/>
  <c r="K290" i="6" s="1"/>
  <c r="K291" i="6" s="1"/>
  <c r="L289" i="6" s="1"/>
  <c r="L294" i="6" s="1"/>
  <c r="K183" i="6"/>
  <c r="K184" i="6" s="1"/>
  <c r="K110" i="6" s="1"/>
  <c r="K307" i="6"/>
  <c r="K171" i="6" s="1"/>
  <c r="K144" i="6" l="1"/>
  <c r="L143" i="6" s="1"/>
  <c r="K364" i="6"/>
  <c r="K370" i="6"/>
  <c r="K367" i="6"/>
  <c r="K371" i="6"/>
  <c r="K365" i="6"/>
  <c r="L305" i="6"/>
  <c r="L310" i="6" s="1"/>
  <c r="L322" i="6" s="1"/>
  <c r="L97" i="6" s="1"/>
  <c r="K174" i="6"/>
  <c r="K180" i="6" s="1"/>
  <c r="K186" i="6" s="1"/>
  <c r="K156" i="6" l="1"/>
  <c r="K368" i="6" s="1"/>
  <c r="L98" i="6"/>
  <c r="L229" i="6" s="1"/>
  <c r="L234" i="6" s="1"/>
  <c r="L369" i="6"/>
  <c r="K375" i="6" l="1"/>
  <c r="K161" i="6"/>
  <c r="K167" i="6" s="1"/>
  <c r="K188" i="6" s="1"/>
  <c r="L232" i="6"/>
  <c r="L237" i="6" s="1"/>
  <c r="L100" i="6" s="1"/>
  <c r="K373" i="6" l="1"/>
  <c r="K374" i="6"/>
  <c r="L238" i="6"/>
  <c r="L101" i="6" s="1"/>
  <c r="L123" i="6" s="1"/>
  <c r="L176" i="6" l="1"/>
  <c r="L178" i="6" s="1"/>
  <c r="L102" i="6"/>
  <c r="L104" i="6" s="1"/>
  <c r="L239" i="6"/>
  <c r="L389" i="6"/>
  <c r="L393" i="6" s="1"/>
  <c r="L408" i="6" s="1"/>
  <c r="L412" i="6" s="1"/>
  <c r="L121" i="6" l="1"/>
  <c r="L125" i="6" s="1"/>
  <c r="L298" i="6" s="1"/>
  <c r="L362" i="6"/>
  <c r="L414" i="6"/>
  <c r="L345" i="6"/>
  <c r="AB21" i="21"/>
  <c r="AB23" i="21" s="1"/>
  <c r="L339" i="6"/>
  <c r="L340" i="6" s="1"/>
  <c r="L138" i="6" s="1"/>
  <c r="L302" i="6" l="1"/>
  <c r="L303" i="6" s="1"/>
  <c r="L306" i="6" s="1"/>
  <c r="L135" i="6" s="1"/>
  <c r="L139" i="6" s="1"/>
  <c r="L142" i="6" s="1"/>
  <c r="L290" i="6" s="1"/>
  <c r="L291" i="6" s="1"/>
  <c r="M289" i="6" s="1"/>
  <c r="M294" i="6" s="1"/>
  <c r="L346" i="6"/>
  <c r="L347" i="6" s="1"/>
  <c r="L183" i="6" s="1"/>
  <c r="L184" i="6" s="1"/>
  <c r="AB22" i="21"/>
  <c r="L110" i="6" l="1"/>
  <c r="L364" i="6"/>
  <c r="L144" i="6"/>
  <c r="L156" i="6" s="1"/>
  <c r="L307" i="6"/>
  <c r="L171" i="6" s="1"/>
  <c r="M344" i="6"/>
  <c r="L161" i="6" l="1"/>
  <c r="L174" i="6"/>
  <c r="L180" i="6" s="1"/>
  <c r="L186" i="6" s="1"/>
  <c r="L371" i="6"/>
  <c r="L368" i="6"/>
  <c r="L370" i="6"/>
  <c r="L367" i="6"/>
  <c r="L365" i="6"/>
  <c r="M143" i="6"/>
  <c r="M305" i="6"/>
  <c r="M310" i="6" s="1"/>
  <c r="M322" i="6" s="1"/>
  <c r="M97" i="6" s="1"/>
  <c r="M98" i="6" l="1"/>
  <c r="M229" i="6" s="1"/>
  <c r="M234" i="6" s="1"/>
  <c r="M369" i="6"/>
  <c r="L375" i="6"/>
  <c r="L167" i="6"/>
  <c r="L188" i="6" s="1"/>
  <c r="L373" i="6"/>
  <c r="L374" i="6"/>
  <c r="M232" i="6" l="1"/>
  <c r="M237" i="6" s="1"/>
  <c r="M238" i="6" s="1"/>
  <c r="M101" i="6" s="1"/>
  <c r="M123" i="6" s="1"/>
  <c r="M239" i="6" l="1"/>
  <c r="M176" i="6"/>
  <c r="M178" i="6" s="1"/>
  <c r="M100" i="6"/>
  <c r="M102" i="6" s="1"/>
  <c r="M104" i="6" l="1"/>
  <c r="M389" i="6"/>
  <c r="M393" i="6" s="1"/>
  <c r="M408" i="6" s="1"/>
  <c r="M412" i="6" s="1"/>
  <c r="M121" i="6" l="1"/>
  <c r="M125" i="6" s="1"/>
  <c r="M298" i="6" s="1"/>
  <c r="M362" i="6"/>
  <c r="M414" i="6"/>
  <c r="M345" i="6"/>
  <c r="M339" i="6"/>
  <c r="M340" i="6" s="1"/>
  <c r="M138" i="6" s="1"/>
  <c r="AC21" i="21"/>
  <c r="AC23" i="21" s="1"/>
  <c r="AC22" i="21" l="1"/>
  <c r="M302" i="6"/>
  <c r="M303" i="6" s="1"/>
  <c r="M306" i="6" s="1"/>
  <c r="M135" i="6" s="1"/>
  <c r="M139" i="6" s="1"/>
  <c r="M142" i="6" s="1"/>
  <c r="M144" i="6" s="1"/>
  <c r="M346" i="6"/>
  <c r="M347" i="6" s="1"/>
  <c r="N344" i="6" s="1"/>
  <c r="M290" i="6" l="1"/>
  <c r="M291" i="6" s="1"/>
  <c r="N289" i="6" s="1"/>
  <c r="N294" i="6" s="1"/>
  <c r="M307" i="6"/>
  <c r="M183" i="6"/>
  <c r="M184" i="6" s="1"/>
  <c r="N143" i="6"/>
  <c r="M156" i="6"/>
  <c r="M161" i="6" l="1"/>
  <c r="M110" i="6"/>
  <c r="M364" i="6"/>
  <c r="N305" i="6"/>
  <c r="N310" i="6" s="1"/>
  <c r="N322" i="6" s="1"/>
  <c r="N97" i="6" s="1"/>
  <c r="M171" i="6"/>
  <c r="M167" i="6" l="1"/>
  <c r="M367" i="6"/>
  <c r="M371" i="6"/>
  <c r="M370" i="6"/>
  <c r="M368" i="6"/>
  <c r="M365" i="6"/>
  <c r="N98" i="6"/>
  <c r="N229" i="6" s="1"/>
  <c r="N232" i="6" s="1"/>
  <c r="N237" i="6" s="1"/>
  <c r="N100" i="6" s="1"/>
  <c r="N369" i="6"/>
  <c r="M174" i="6"/>
  <c r="M373" i="6" s="1"/>
  <c r="N234" i="6" l="1"/>
  <c r="N238" i="6" s="1"/>
  <c r="N101" i="6" s="1"/>
  <c r="N123" i="6" s="1"/>
  <c r="M374" i="6"/>
  <c r="M180" i="6"/>
  <c r="M186" i="6" s="1"/>
  <c r="M188" i="6" s="1"/>
  <c r="M375" i="6"/>
  <c r="N102" i="6" l="1"/>
  <c r="N104" i="6" s="1"/>
  <c r="N176" i="6"/>
  <c r="N178" i="6" s="1"/>
  <c r="N239" i="6"/>
  <c r="N389" i="6"/>
  <c r="N393" i="6" s="1"/>
  <c r="N408" i="6" s="1"/>
  <c r="N412" i="6" s="1"/>
  <c r="AD21" i="21" l="1"/>
  <c r="AD23" i="21" s="1"/>
  <c r="N362" i="6"/>
  <c r="N414" i="6"/>
  <c r="N339" i="6"/>
  <c r="N340" i="6" s="1"/>
  <c r="N302" i="6" s="1"/>
  <c r="N345" i="6"/>
  <c r="N121" i="6"/>
  <c r="N125" i="6" s="1"/>
  <c r="N298" i="6" s="1"/>
  <c r="AD22" i="21" l="1"/>
  <c r="N303" i="6"/>
  <c r="N306" i="6" s="1"/>
  <c r="N135" i="6" s="1"/>
  <c r="N138" i="6"/>
  <c r="N346" i="6"/>
  <c r="N347" i="6" s="1"/>
  <c r="O344" i="6" s="1"/>
  <c r="N183" i="6" l="1"/>
  <c r="N184" i="6" s="1"/>
  <c r="N307" i="6"/>
  <c r="O305" i="6" s="1"/>
  <c r="O310" i="6" s="1"/>
  <c r="N139" i="6"/>
  <c r="N142" i="6" s="1"/>
  <c r="N290" i="6" s="1"/>
  <c r="N291" i="6" s="1"/>
  <c r="O289" i="6" s="1"/>
  <c r="O294" i="6" s="1"/>
  <c r="N110" i="6" l="1"/>
  <c r="N364" i="6"/>
  <c r="O322" i="6"/>
  <c r="O97" i="6" s="1"/>
  <c r="N171" i="6"/>
  <c r="N144" i="6"/>
  <c r="O98" i="6" l="1"/>
  <c r="O229" i="6" s="1"/>
  <c r="O234" i="6" s="1"/>
  <c r="O369" i="6"/>
  <c r="N370" i="6"/>
  <c r="N367" i="6"/>
  <c r="N371" i="6"/>
  <c r="N365" i="6"/>
  <c r="N174" i="6"/>
  <c r="N180" i="6" s="1"/>
  <c r="N186" i="6" s="1"/>
  <c r="O143" i="6"/>
  <c r="N156" i="6"/>
  <c r="N161" i="6" l="1"/>
  <c r="N375" i="6"/>
  <c r="O232" i="6"/>
  <c r="O237" i="6" s="1"/>
  <c r="O100" i="6" s="1"/>
  <c r="N368" i="6"/>
  <c r="O238" i="6" l="1"/>
  <c r="O101" i="6" s="1"/>
  <c r="O123" i="6" s="1"/>
  <c r="N167" i="6"/>
  <c r="N188" i="6" s="1"/>
  <c r="N373" i="6"/>
  <c r="N374" i="6"/>
  <c r="O176" i="6" l="1"/>
  <c r="O178" i="6" s="1"/>
  <c r="O102" i="6"/>
  <c r="O389" i="6" s="1"/>
  <c r="O393" i="6" s="1"/>
  <c r="O408" i="6" s="1"/>
  <c r="O412" i="6" s="1"/>
  <c r="K434" i="6" s="1"/>
  <c r="O239" i="6"/>
  <c r="J418" i="6" l="1"/>
  <c r="J420" i="6" s="1"/>
  <c r="K418" i="6" s="1"/>
  <c r="M432" i="6"/>
  <c r="M434" i="6"/>
  <c r="K432" i="6"/>
  <c r="L433" i="6"/>
  <c r="L436" i="6"/>
  <c r="L435" i="6"/>
  <c r="M435" i="6"/>
  <c r="N433" i="6"/>
  <c r="M436" i="6"/>
  <c r="N435" i="6"/>
  <c r="J433" i="6"/>
  <c r="L432" i="6"/>
  <c r="N436" i="6"/>
  <c r="N432" i="6"/>
  <c r="J435" i="6"/>
  <c r="K433" i="6"/>
  <c r="J436" i="6"/>
  <c r="N434" i="6"/>
  <c r="O104" i="6"/>
  <c r="AE21" i="21" s="1"/>
  <c r="AE22" i="21" s="1"/>
  <c r="M433" i="6"/>
  <c r="K435" i="6"/>
  <c r="O414" i="6"/>
  <c r="J434" i="6"/>
  <c r="L434" i="6"/>
  <c r="K436" i="6"/>
  <c r="J432" i="6"/>
  <c r="O121" i="6" l="1"/>
  <c r="O125" i="6" s="1"/>
  <c r="O298" i="6" s="1"/>
  <c r="O339" i="6"/>
  <c r="O340" i="6" s="1"/>
  <c r="O302" i="6" s="1"/>
  <c r="O345" i="6"/>
  <c r="O362" i="6"/>
  <c r="K424" i="6"/>
  <c r="K419" i="6"/>
  <c r="K420" i="6" s="1"/>
  <c r="AE23" i="21"/>
  <c r="O303" i="6" l="1"/>
  <c r="O306" i="6" s="1"/>
  <c r="O135" i="6" s="1"/>
  <c r="O346" i="6"/>
  <c r="O347" i="6" s="1"/>
  <c r="O183" i="6" s="1"/>
  <c r="O184" i="6" s="1"/>
  <c r="O110" i="6" s="1"/>
  <c r="O138" i="6"/>
  <c r="O307" i="6" l="1"/>
  <c r="O171" i="6" s="1"/>
  <c r="O370" i="6" s="1"/>
  <c r="O139" i="6"/>
  <c r="O142" i="6" s="1"/>
  <c r="O290" i="6" s="1"/>
  <c r="O291" i="6" s="1"/>
  <c r="O364" i="6"/>
  <c r="O144" i="6" l="1"/>
  <c r="O156" i="6" s="1"/>
  <c r="O174" i="6"/>
  <c r="O180" i="6" s="1"/>
  <c r="O186" i="6" s="1"/>
  <c r="O365" i="6"/>
  <c r="O371" i="6"/>
  <c r="O367" i="6"/>
  <c r="K426" i="6"/>
  <c r="O375" i="6" l="1"/>
  <c r="O368" i="6"/>
  <c r="O161" i="6"/>
  <c r="O167" i="6" s="1"/>
  <c r="O188" i="6" s="1"/>
  <c r="O418" i="6"/>
  <c r="O420" i="6" s="1"/>
  <c r="O374" i="6" l="1"/>
  <c r="O373" i="6"/>
  <c r="E14" i="29"/>
  <c r="O424" i="6"/>
  <c r="O426" i="6" s="1"/>
  <c r="E16" i="29" s="1"/>
  <c r="I43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Chungu Kapambwe</author>
  </authors>
  <commentList>
    <comment ref="C5" authorId="0" shapeId="0" xr:uid="{BB37699D-A729-4A2E-8328-7C3184195E5B}">
      <text>
        <r>
          <rPr>
            <b/>
            <sz val="9"/>
            <color indexed="81"/>
            <rFont val="Tahoma"/>
            <family val="2"/>
          </rPr>
          <t>Chungu Kapambwe:</t>
        </r>
        <r>
          <rPr>
            <sz val="9"/>
            <color indexed="81"/>
            <rFont val="Tahoma"/>
            <family val="2"/>
          </rPr>
          <t xml:space="preserve">
Point-in-time snapshot of model outputs, refreshed 2026-07-24. Projection years (2027-2031) reflect the Base Case assumptions as of this date. The model computes one scenario at a time via Scenarios!D6, so these three tables must be manually refreshed after changing assumptions. The live current-scenario view is the dynamic block at columns X:AE.</t>
        </r>
      </text>
    </comment>
    <comment ref="C26" authorId="0" shapeId="0" xr:uid="{314863D4-18C4-49E9-B830-E0977749936B}">
      <text>
        <r>
          <rPr>
            <b/>
            <sz val="9"/>
            <color indexed="81"/>
            <rFont val="Tahoma"/>
            <family val="2"/>
          </rPr>
          <t>Chungu Kapambwe:</t>
        </r>
        <r>
          <rPr>
            <sz val="9"/>
            <color indexed="81"/>
            <rFont val="Tahoma"/>
            <family val="2"/>
          </rPr>
          <t xml:space="preserve">
Point-in-time snapshot of model outputs, refreshed 2026-07-24. Projection years (2027-2031) reflect the Best Case assumptions as of this date. The model computes one scenario at a time via Scenarios!D6, so these three tables must be manually refreshed after changing assumptions.</t>
        </r>
      </text>
    </comment>
    <comment ref="C47" authorId="0" shapeId="0" xr:uid="{8119BA10-5584-4B4F-BC02-A621E11D6317}">
      <text>
        <r>
          <rPr>
            <b/>
            <sz val="9"/>
            <color indexed="81"/>
            <rFont val="Tahoma"/>
            <family val="2"/>
          </rPr>
          <t>Chungu Kapambwe:</t>
        </r>
        <r>
          <rPr>
            <sz val="9"/>
            <color indexed="81"/>
            <rFont val="Tahoma"/>
            <family val="2"/>
          </rPr>
          <t xml:space="preserve">
Point-in-time snapshot of model outputs, refreshed 2026-07-24. Projection years (2027-2031) reflect the Worst Case assumptions as of this date. The model computes one scenario at a time via Scenarios!D6, so these three tables must be manually refreshed after changing assumptions.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294" authorId="0" shapeId="0" xr:uid="{9348DE71-38AA-42E6-8F50-93D8511549CA}">
      <text>
        <r>
          <rPr>
            <b/>
            <sz val="9"/>
            <color indexed="81"/>
            <rFont val="Arial"/>
            <family val="2"/>
          </rPr>
          <t xml:space="preserve">Note on Interest Expense
</t>
        </r>
        <r>
          <rPr>
            <sz val="9"/>
            <color indexed="81"/>
            <rFont val="Arial"/>
            <family val="2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  <comment ref="K310" authorId="0" shapeId="0" xr:uid="{AC8474A6-D4A4-4FEA-8C4F-EE553D3A978B}">
      <text>
        <r>
          <rPr>
            <b/>
            <sz val="9"/>
            <color indexed="81"/>
            <rFont val="Arial"/>
            <family val="2"/>
          </rPr>
          <t xml:space="preserve">Note on Interest Expense
</t>
        </r>
        <r>
          <rPr>
            <sz val="9"/>
            <color indexed="81"/>
            <rFont val="Arial"/>
            <family val="2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  <comment ref="K319" authorId="0" shapeId="0" xr:uid="{190634BD-9407-42EF-BA36-6EA5AB3FFB02}">
      <text>
        <r>
          <rPr>
            <b/>
            <sz val="9"/>
            <color indexed="81"/>
            <rFont val="Arial"/>
            <family val="2"/>
          </rPr>
          <t xml:space="preserve">Note on Interest Expense
</t>
        </r>
        <r>
          <rPr>
            <sz val="9"/>
            <color indexed="81"/>
            <rFont val="Arial"/>
            <family val="2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<sst xmlns="http://schemas.openxmlformats.org/spreadsheetml/2006/main" count="550" uniqueCount="294">
  <si>
    <t>Pricing Case</t>
  </si>
  <si>
    <t>Pricing</t>
  </si>
  <si>
    <t>Projected</t>
  </si>
  <si>
    <t>Net Revenue</t>
  </si>
  <si>
    <t>Cost of Sales</t>
  </si>
  <si>
    <t>EBITDA</t>
  </si>
  <si>
    <t>Depreciation &amp; Amortization</t>
  </si>
  <si>
    <t>EBIT</t>
  </si>
  <si>
    <t>Net Income</t>
  </si>
  <si>
    <t>Operating Activities</t>
  </si>
  <si>
    <t>Other</t>
  </si>
  <si>
    <t>Operating Cash Flow</t>
  </si>
  <si>
    <t>ASSETS</t>
  </si>
  <si>
    <t>Cash</t>
  </si>
  <si>
    <t>Accounts Receivable</t>
  </si>
  <si>
    <t>Inventory</t>
  </si>
  <si>
    <t>Total Current Assets</t>
  </si>
  <si>
    <t>Net PP&amp;E</t>
  </si>
  <si>
    <t>Total Assets</t>
  </si>
  <si>
    <t>LIABILITIES AND EQUITY</t>
  </si>
  <si>
    <t>Accounts Payable</t>
  </si>
  <si>
    <t>Total Current Liabilities</t>
  </si>
  <si>
    <t>Total Long Term Liabilities</t>
  </si>
  <si>
    <t>Total Liabilities</t>
  </si>
  <si>
    <t>Shareholder's Equity</t>
  </si>
  <si>
    <t>Total Liabilities and Equity</t>
  </si>
  <si>
    <t>Check</t>
  </si>
  <si>
    <t>Days In</t>
  </si>
  <si>
    <t>Inventories</t>
  </si>
  <si>
    <t>Account Balances</t>
  </si>
  <si>
    <t>Net Working Capital</t>
  </si>
  <si>
    <t>A</t>
  </si>
  <si>
    <t>B</t>
  </si>
  <si>
    <t>Variable Costs</t>
  </si>
  <si>
    <t>Total Variable Costs</t>
  </si>
  <si>
    <t>Fixed Costs</t>
  </si>
  <si>
    <t>S,G &amp; A</t>
  </si>
  <si>
    <t>Income Statement</t>
  </si>
  <si>
    <t>Margins</t>
  </si>
  <si>
    <t>EBITDA Margin</t>
  </si>
  <si>
    <t>EBIT Margin</t>
  </si>
  <si>
    <t>Depreciation to Existing Assets</t>
  </si>
  <si>
    <t>Total Depreciation</t>
  </si>
  <si>
    <t>Revenue</t>
  </si>
  <si>
    <t>Gross Revenue</t>
  </si>
  <si>
    <t>Total Costs</t>
  </si>
  <si>
    <t>Depreciation</t>
  </si>
  <si>
    <t>Cash Flow Statement</t>
  </si>
  <si>
    <t>Income Tax Schedule</t>
  </si>
  <si>
    <t>Working Capital Schedule</t>
  </si>
  <si>
    <t>Total Fixed Costs</t>
  </si>
  <si>
    <t>Freight &amp; Warehousing</t>
  </si>
  <si>
    <t>Implied Operating Rate</t>
  </si>
  <si>
    <t>Operating Labour</t>
  </si>
  <si>
    <t>CAPEX</t>
  </si>
  <si>
    <t>Change in the Cash Position</t>
  </si>
  <si>
    <t>Beginning Cash</t>
  </si>
  <si>
    <t>Ending Cash</t>
  </si>
  <si>
    <t>Base Case</t>
  </si>
  <si>
    <t>Best Case</t>
  </si>
  <si>
    <t>Worst Case</t>
  </si>
  <si>
    <t>(days)</t>
  </si>
  <si>
    <t xml:space="preserve">Gross Sales Price </t>
  </si>
  <si>
    <t>Debt and Interest Schedule</t>
  </si>
  <si>
    <t>Net Sales Price</t>
  </si>
  <si>
    <t>Amount Outstanding - Beginning</t>
  </si>
  <si>
    <t>Additions / (Repayments)</t>
  </si>
  <si>
    <t>Amount Outstanding - Ending</t>
  </si>
  <si>
    <t>Interest Rate</t>
  </si>
  <si>
    <t>Annual Interest Expense</t>
  </si>
  <si>
    <t>Annual Interest Income</t>
  </si>
  <si>
    <t>Change in Cash</t>
  </si>
  <si>
    <t>Financing Activities</t>
  </si>
  <si>
    <t>Interest Expense</t>
  </si>
  <si>
    <t>Net Interest Expense</t>
  </si>
  <si>
    <t>EBT</t>
  </si>
  <si>
    <t>(000's units)</t>
  </si>
  <si>
    <t>COSTS PER UNIT</t>
  </si>
  <si>
    <t>The product pricing cases used in the model are as follows:</t>
  </si>
  <si>
    <t>-</t>
  </si>
  <si>
    <t>GENERAL</t>
  </si>
  <si>
    <t>PRODUCT PRICING</t>
  </si>
  <si>
    <t>OPERATIONS</t>
  </si>
  <si>
    <t>TAXES</t>
  </si>
  <si>
    <t>Cost Item</t>
  </si>
  <si>
    <t>Raw Materials</t>
  </si>
  <si>
    <t>Increases</t>
  </si>
  <si>
    <t>Inflation on a unit basis</t>
  </si>
  <si>
    <t>SG&amp;A</t>
  </si>
  <si>
    <t>DEPRECIATION</t>
  </si>
  <si>
    <t>Straight Line</t>
  </si>
  <si>
    <t>ECONOMIC SCENARIOS</t>
  </si>
  <si>
    <t>Current Income Taxes</t>
  </si>
  <si>
    <t>Total Income Taxes</t>
  </si>
  <si>
    <t>Tax Rate</t>
  </si>
  <si>
    <t>Taxes as Appearing on Income Statement</t>
  </si>
  <si>
    <t>Total Income Taxes (Same as Accounting Taxes Above)</t>
  </si>
  <si>
    <t>Cost Inflation</t>
  </si>
  <si>
    <t>SCENARIO SWITCH:</t>
  </si>
  <si>
    <t>Revenue Schedule</t>
  </si>
  <si>
    <t>Capital Expenditures</t>
  </si>
  <si>
    <t>Investing Activities</t>
  </si>
  <si>
    <t>Investing Cash Flow</t>
  </si>
  <si>
    <t>Financing Cash Flow</t>
  </si>
  <si>
    <t>Balance Sheet</t>
  </si>
  <si>
    <t>Days per Year</t>
  </si>
  <si>
    <t>Inputs and Assumptions</t>
  </si>
  <si>
    <t>SALES SCENARIOS</t>
  </si>
  <si>
    <t>Sales Volume Growth</t>
  </si>
  <si>
    <t>(%)</t>
  </si>
  <si>
    <t>Sales Volume</t>
  </si>
  <si>
    <t>Annual Sales Volume</t>
  </si>
  <si>
    <t>Change in Working Capital</t>
  </si>
  <si>
    <t>Shareholders' Equity Schedule</t>
  </si>
  <si>
    <t>Common Shares</t>
  </si>
  <si>
    <t>Dividend Payout Rate</t>
  </si>
  <si>
    <t>Common Dividend</t>
  </si>
  <si>
    <t>Retained Earnings</t>
  </si>
  <si>
    <t>EQUITY</t>
  </si>
  <si>
    <t>Common Dividend Payout Rate</t>
  </si>
  <si>
    <t>Common Stock Issuance / (Buy-back)</t>
  </si>
  <si>
    <t>Common Shares Issuance/ (Buy-Back)</t>
  </si>
  <si>
    <t>Common Dividends</t>
  </si>
  <si>
    <t>New Issuance / (Buy-Back)</t>
  </si>
  <si>
    <t>Return on Equity</t>
  </si>
  <si>
    <t>Changes in working capital</t>
  </si>
  <si>
    <t>Dividends</t>
  </si>
  <si>
    <t>FINANCING COMPONENT</t>
  </si>
  <si>
    <t>and sales volume growth</t>
  </si>
  <si>
    <t>Revolver</t>
  </si>
  <si>
    <t>Senior Secured Term Debt</t>
  </si>
  <si>
    <t>Revolver Issuance / (Repayment)</t>
  </si>
  <si>
    <t>Term Debt Issuance / (Repayment)</t>
  </si>
  <si>
    <t>Bank Debt - Revolver</t>
  </si>
  <si>
    <t>FCF After Mandatory Debt Repayment and Dividend</t>
  </si>
  <si>
    <t>Mandatory Debt Repayments</t>
  </si>
  <si>
    <t>Revolver Outstanding - Beginning</t>
  </si>
  <si>
    <t>Revolver Outstanding - Ending</t>
  </si>
  <si>
    <t>Research Forecast</t>
  </si>
  <si>
    <t xml:space="preserve"> </t>
  </si>
  <si>
    <t>Depreciation Years on New Assets:</t>
  </si>
  <si>
    <t>Income Statement Items</t>
  </si>
  <si>
    <t>First year of forecast in financial model:</t>
  </si>
  <si>
    <t>per Unit</t>
  </si>
  <si>
    <t>MM</t>
  </si>
  <si>
    <t>Deferred Income Taxes</t>
  </si>
  <si>
    <t>Increase (Decrease) in Deferred Income Taxes</t>
  </si>
  <si>
    <t>SUMMARY VALUES - BASE CASE</t>
  </si>
  <si>
    <t xml:space="preserve">   Growth</t>
  </si>
  <si>
    <t xml:space="preserve">   Margin</t>
  </si>
  <si>
    <t>SUMMARY VALUES - WORST CASE</t>
  </si>
  <si>
    <t>Utilities</t>
  </si>
  <si>
    <t>Rent</t>
  </si>
  <si>
    <t>Depreciation Methodology Used:</t>
  </si>
  <si>
    <t>Years remaining for depreciation of existing assets:</t>
  </si>
  <si>
    <t>Years used for depreciation of new assets:</t>
  </si>
  <si>
    <t>OTHER ASSUMPTIONS</t>
  </si>
  <si>
    <t>Working Capital Days</t>
  </si>
  <si>
    <t>days</t>
  </si>
  <si>
    <t>Change in Debt &amp; Equity</t>
  </si>
  <si>
    <t>Annual Factory Capacity</t>
  </si>
  <si>
    <t>Cost Adjustments - Gain/(Loss)</t>
  </si>
  <si>
    <t>Investing Activities - Other</t>
  </si>
  <si>
    <t>Prepaid Expenses</t>
  </si>
  <si>
    <t>Other Assets</t>
  </si>
  <si>
    <t>Other Liabilities</t>
  </si>
  <si>
    <t>Three scenarios have been used for Inflation, Product Pricing</t>
  </si>
  <si>
    <t>(MM)</t>
  </si>
  <si>
    <t>Sales Price - $/Unit</t>
  </si>
  <si>
    <t>($/unit)</t>
  </si>
  <si>
    <t>($ MM)</t>
  </si>
  <si>
    <t>($ Millions)</t>
  </si>
  <si>
    <t>Income Tax</t>
  </si>
  <si>
    <t xml:space="preserve">Accounting EBT (as is on I/S)   </t>
  </si>
  <si>
    <t>(1) Assumes aggregate reduction in government pre-tax earnings due to timing differences between accounting and government rules.</t>
  </si>
  <si>
    <t>Reduction in EBT for timing differences</t>
  </si>
  <si>
    <t>Total Long Term Assets</t>
  </si>
  <si>
    <t>Summary Outputs</t>
  </si>
  <si>
    <t>SUMMARY VALUES - BEST CASE</t>
  </si>
  <si>
    <t>Costs of Production Schedule</t>
  </si>
  <si>
    <t>COSTS IN MILLIONS</t>
  </si>
  <si>
    <t>INTEREST RATES</t>
  </si>
  <si>
    <r>
      <t xml:space="preserve">Less: Reduction in EBT for timing differences </t>
    </r>
    <r>
      <rPr>
        <vertAlign val="superscript"/>
        <sz val="10"/>
        <rFont val="Arial"/>
        <family val="2"/>
      </rPr>
      <t>(1)</t>
    </r>
  </si>
  <si>
    <t>Senior Term Debt Issuance / (Repayment)</t>
  </si>
  <si>
    <t>Annual Factory Capacity (000's units):</t>
  </si>
  <si>
    <t>Tax rate assumed in the model:</t>
  </si>
  <si>
    <t>Additional tax assumptions in "Other Assumptions" box</t>
  </si>
  <si>
    <t>Interest rate on Bank Revolver:</t>
  </si>
  <si>
    <t>Interest rate on Senior Secured Term Debt:</t>
  </si>
  <si>
    <t>Inflation on a total basis</t>
  </si>
  <si>
    <t>Interest earned on Cash balances:</t>
  </si>
  <si>
    <t>Economic and Sales Scenarios</t>
  </si>
  <si>
    <t>Trend</t>
  </si>
  <si>
    <t>Years Remaining Existing Assets:</t>
  </si>
  <si>
    <t>Units</t>
  </si>
  <si>
    <t>Revenue Growth</t>
  </si>
  <si>
    <t>Variable vs. Fixed Costs</t>
  </si>
  <si>
    <t>Semi-Variable Costs</t>
  </si>
  <si>
    <t xml:space="preserve">Fixed Assets (PP&amp;E) - Ending </t>
  </si>
  <si>
    <t>Fixed Assets (PP&amp;E) - Beginning</t>
  </si>
  <si>
    <t>Fixed Assets (PP&amp;E) Schedule</t>
  </si>
  <si>
    <t>Plus Capex</t>
  </si>
  <si>
    <t>Government EBT/ Taxable Income</t>
  </si>
  <si>
    <t>Rev Sched</t>
  </si>
  <si>
    <t>Calc</t>
  </si>
  <si>
    <t>Cost Sched</t>
  </si>
  <si>
    <t>Assum</t>
  </si>
  <si>
    <t>Dep'n Sched</t>
  </si>
  <si>
    <t>Debt Sched</t>
  </si>
  <si>
    <t>Tax Sched</t>
  </si>
  <si>
    <t>SUM</t>
  </si>
  <si>
    <t>Inc Stmt</t>
  </si>
  <si>
    <t>WC Sched</t>
  </si>
  <si>
    <t>Equity Sched</t>
  </si>
  <si>
    <t>CFLO Stmt</t>
  </si>
  <si>
    <t>FA Sched</t>
  </si>
  <si>
    <t>Ta</t>
  </si>
  <si>
    <t>Debt Sched/Calc</t>
  </si>
  <si>
    <t>Model Ratios</t>
  </si>
  <si>
    <t>Unlevered Free Cash Flow Schedule</t>
  </si>
  <si>
    <t>Unlevered Free Cash Flow</t>
  </si>
  <si>
    <t>NOPAT</t>
  </si>
  <si>
    <t>D&amp;A</t>
  </si>
  <si>
    <t>Cash from Working Capital</t>
  </si>
  <si>
    <t>Undiscounted Cash Flow</t>
  </si>
  <si>
    <t>Discrete Forecast</t>
  </si>
  <si>
    <t>Terminal Value</t>
  </si>
  <si>
    <t>Total Cash Flow</t>
  </si>
  <si>
    <t>ASSUMPTIONS</t>
  </si>
  <si>
    <t>Terminal Multiple</t>
  </si>
  <si>
    <t>Discount Rate</t>
  </si>
  <si>
    <t>ENTERPRISE VALUE</t>
  </si>
  <si>
    <t>EQUITY VALUE PER SHARE</t>
  </si>
  <si>
    <t>PV of Discrete</t>
  </si>
  <si>
    <t>PV of Terminal</t>
  </si>
  <si>
    <t>Enterprise Value</t>
  </si>
  <si>
    <t>EQUITY VALUE</t>
  </si>
  <si>
    <t>Less: Net Debt</t>
  </si>
  <si>
    <t>Equity Value</t>
  </si>
  <si>
    <t>PREMIUM (DISCOUNT)</t>
  </si>
  <si>
    <t>Shares Outstanding</t>
  </si>
  <si>
    <t>(per sh.)</t>
  </si>
  <si>
    <t>SENSITIVITY ANALYSIS</t>
  </si>
  <si>
    <t xml:space="preserve">Discounted Cash Flow </t>
  </si>
  <si>
    <t>OPERATING COSTS</t>
  </si>
  <si>
    <t>Taxes on EBIT</t>
  </si>
  <si>
    <t>Blu Containers</t>
  </si>
  <si>
    <t>Implied Value / Share</t>
  </si>
  <si>
    <t>Current Share Price</t>
  </si>
  <si>
    <t>Premium / (Discount)</t>
  </si>
  <si>
    <t>Discounted Cash Flow Valuation Model</t>
  </si>
  <si>
    <t>ENGAGEMENT DETAILS</t>
  </si>
  <si>
    <t>Valuation Date</t>
  </si>
  <si>
    <t>Reporting Currency</t>
  </si>
  <si>
    <t>US$ in millions</t>
  </si>
  <si>
    <t>Model Type</t>
  </si>
  <si>
    <t>5-Year DCF — exit-multiple terminal value</t>
  </si>
  <si>
    <t>Prepared By</t>
  </si>
  <si>
    <t>Status</t>
  </si>
  <si>
    <t>VALUATION SUMMARY</t>
  </si>
  <si>
    <t>Implied Value per Share (US$)</t>
  </si>
  <si>
    <t>Current Share Price (US$)</t>
  </si>
  <si>
    <t>Implied Premium / (Discount)</t>
  </si>
  <si>
    <t>CONTENTS</t>
  </si>
  <si>
    <t>Summary</t>
  </si>
  <si>
    <t>Scenario output — Base, Best, Worst</t>
  </si>
  <si>
    <t>Assumptions</t>
  </si>
  <si>
    <t>Key operating &amp; valuation inputs</t>
  </si>
  <si>
    <t>Scenarios</t>
  </si>
  <si>
    <t>Scenario switch and driver sets</t>
  </si>
  <si>
    <t>Model</t>
  </si>
  <si>
    <t>Integrated 3-statement model &amp; DCF valuation</t>
  </si>
  <si>
    <t>Corporate income tax computation</t>
  </si>
  <si>
    <t>Cost behaviour split</t>
  </si>
  <si>
    <t>Semi-variable cost detail</t>
  </si>
  <si>
    <t>This model is prepared for illustrative and analytical purposes only and does not constitute investment advice. Figures are estimates based on stated assumptions and are subject to change. Confidential — for internal use only.</t>
  </si>
  <si>
    <t>Historical</t>
  </si>
  <si>
    <t>(margins in %, coverage &amp; leverage in x)</t>
  </si>
  <si>
    <t>Profitability &amp; Growth</t>
  </si>
  <si>
    <t>Net Margin</t>
  </si>
  <si>
    <t>Returns</t>
  </si>
  <si>
    <t>Return on Invested Capital</t>
  </si>
  <si>
    <t>Credit &amp; Leverage</t>
  </si>
  <si>
    <t>Total Debt / EBITDA</t>
  </si>
  <si>
    <t>Net Debt / EBITDA</t>
  </si>
  <si>
    <t>EBITDA / Interest</t>
  </si>
  <si>
    <t>Debt / Equity</t>
  </si>
  <si>
    <t>Debt / Total Capitalization</t>
  </si>
  <si>
    <t>Liquidity</t>
  </si>
  <si>
    <t>Current Ratio</t>
  </si>
  <si>
    <t>Quick Ratio</t>
  </si>
  <si>
    <t>Cash Ratio</t>
  </si>
  <si>
    <t>Chungu Kapambwe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</si>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</sst>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* #,##0.00_);_(* \(#,##0.00\);_(* &quot;-&quot;??_);_(@_)"/>
    <numFmt numFmtId="169" formatCode="_(* #,##0.0_);_(* \(#,##0.0\);_(* &quot;-&quot;??_);_(@_)"/>
    <numFmt numFmtId="170" formatCode="_(* #,##0_);_(* \(#,##0\);_(* &quot;-&quot;??_);_(@_)"/>
    <numFmt numFmtId="171" formatCode="0.0%"/>
    <numFmt numFmtId="172" formatCode="#,##0.0_);\(#,##0.0\)"/>
    <numFmt numFmtId="173" formatCode="&quot;$&quot;#,##0.0_);\(&quot;$&quot;#,##0.0\)"/>
    <numFmt numFmtId="174" formatCode="#,##0.000_);\(#,##0.000\)"/>
    <numFmt numFmtId="175" formatCode="0.0_);\(0.0\)"/>
    <numFmt numFmtId="176" formatCode="0.00_);\(0.00\)"/>
    <numFmt numFmtId="177" formatCode="0.000_);\(0.000\)"/>
    <numFmt numFmtId="178" formatCode="0\A"/>
    <numFmt numFmtId="179" formatCode="&quot;- EBITDA margin of &quot;0.0%"/>
    <numFmt numFmtId="180" formatCode="&quot;- Opening UCC pool of &quot;&quot;$&quot;#,###.0&quot; million as of January 1, 1999&quot;"/>
    <numFmt numFmtId="181" formatCode="0%;\(0%\)"/>
    <numFmt numFmtId="182" formatCode="0.00\ "/>
    <numFmt numFmtId="183" formatCode="_-* #,##0_-;\-* #,##0_-;_-* &quot;-&quot;??_-;_-@_-"/>
    <numFmt numFmtId="184" formatCode="0_);\(0\)"/>
    <numFmt numFmtId="185" formatCode="0.0%\ ;\(0.0%\)"/>
    <numFmt numFmtId="186" formatCode="mmmm\ d\,\ yyyy"/>
    <numFmt numFmtId="187" formatCode="\+0%;\(0%\)"/>
    <numFmt numFmtId="188" formatCode="&quot;$&quot;#,##0.0"/>
    <numFmt numFmtId="189" formatCode="0\ &quot;years&quot;"/>
    <numFmt numFmtId="190" formatCode="0.0\ \x"/>
    <numFmt numFmtId="191" formatCode="#,##0.0000_);\(#,##0.0000\)"/>
    <numFmt numFmtId="192" formatCode="&quot;$&quot;#,##0.000_);\(&quot;$&quot;#,##0.000\)"/>
    <numFmt numFmtId="193" formatCode="0\F"/>
    <numFmt numFmtId="194" formatCode="&quot;$&quot;#,##0.0000_);\(&quot;$&quot;#,##0.0000\)"/>
    <numFmt numFmtId="195" formatCode="&quot;$&quot;#,##0.000000_);\(&quot;$&quot;#,##0.000000\)"/>
    <numFmt numFmtId="196" formatCode="0.0%;\(0.0%\)"/>
    <numFmt numFmtId="197" formatCode="[&gt;-0.000001]\ 0.0_);\ \(0.0\)_)"/>
    <numFmt numFmtId="198" formatCode="#,##0.0"/>
    <numFmt numFmtId="199" formatCode="0.0\x\ "/>
    <numFmt numFmtId="200" formatCode="0&quot;A&quot;"/>
    <numFmt numFmtId="201" formatCode="0.0&quot;x&quot;"/>
  </numFmts>
  <fonts count="97">
    <font>
      <sz val="10"/>
      <name val="Arial"/>
      <family val="2"/>
    </font>
    <font>
      <sz val="10"/>
      <name val="Book Antiqua"/>
      <family val="1"/>
    </font>
    <font>
      <sz val="10"/>
      <name val="Aldine401 BT"/>
    </font>
    <font>
      <sz val="10"/>
      <name val="Arial"/>
      <family val="2"/>
    </font>
    <font>
      <sz val="11"/>
      <color indexed="12"/>
      <name val="Book Antiqua"/>
      <family val="1"/>
    </font>
    <font>
      <sz val="8"/>
      <name val="Arial"/>
      <family val="2"/>
    </font>
    <font>
      <sz val="10"/>
      <name val="Times New Roman"/>
      <family val="1"/>
    </font>
    <font>
      <sz val="12"/>
      <color theme="1"/>
      <name val="Calibri"/>
      <family val="2"/>
      <scheme val="minor"/>
    </font>
    <font>
      <sz val="14"/>
      <name val="Arial"/>
      <family val="2"/>
    </font>
    <font>
      <b/>
      <sz val="18"/>
      <name val="Arial"/>
      <family val="2"/>
    </font>
    <font>
      <b/>
      <sz val="18"/>
      <color indexed="12"/>
      <name val="Arial"/>
      <family val="2"/>
    </font>
    <font>
      <b/>
      <sz val="14"/>
      <color indexed="8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b/>
      <sz val="10"/>
      <color indexed="12"/>
      <name val="Arial"/>
      <family val="2"/>
    </font>
    <font>
      <b/>
      <i/>
      <sz val="12"/>
      <name val="Arial"/>
      <family val="2"/>
    </font>
    <font>
      <b/>
      <sz val="11"/>
      <name val="Arial"/>
      <family val="2"/>
    </font>
    <font>
      <sz val="9"/>
      <color indexed="1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8"/>
      <name val="Arial"/>
      <family val="2"/>
    </font>
    <font>
      <b/>
      <i/>
      <sz val="14"/>
      <color indexed="10"/>
      <name val="Arial"/>
      <family val="2"/>
    </font>
    <font>
      <b/>
      <i/>
      <sz val="9"/>
      <color indexed="10"/>
      <name val="Arial"/>
      <family val="2"/>
    </font>
    <font>
      <b/>
      <i/>
      <sz val="10"/>
      <name val="Arial"/>
      <family val="2"/>
    </font>
    <font>
      <sz val="10"/>
      <color indexed="9"/>
      <name val="Arial"/>
      <family val="2"/>
    </font>
    <font>
      <sz val="10"/>
      <color rgb="FF0000FF"/>
      <name val="Arial"/>
      <family val="2"/>
    </font>
    <font>
      <sz val="10"/>
      <color indexed="61"/>
      <name val="Arial"/>
      <family val="2"/>
    </font>
    <font>
      <i/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vertAlign val="superscript"/>
      <sz val="7"/>
      <name val="Arial"/>
      <family val="2"/>
    </font>
    <font>
      <b/>
      <sz val="10"/>
      <color indexed="10"/>
      <name val="Arial"/>
      <family val="2"/>
    </font>
    <font>
      <u/>
      <sz val="10"/>
      <color rgb="FF0000FF"/>
      <name val="Arial"/>
      <family val="2"/>
    </font>
    <font>
      <sz val="8"/>
      <color indexed="12"/>
      <name val="Arial"/>
      <family val="2"/>
    </font>
    <font>
      <b/>
      <sz val="9"/>
      <color indexed="12"/>
      <name val="Arial"/>
      <family val="2"/>
    </font>
    <font>
      <b/>
      <sz val="20"/>
      <name val="Arial"/>
      <family val="2"/>
    </font>
    <font>
      <b/>
      <u/>
      <sz val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color indexed="8"/>
      <name val="Arial"/>
      <family val="2"/>
    </font>
    <font>
      <b/>
      <i/>
      <sz val="10"/>
      <color indexed="8"/>
      <name val="Arial"/>
      <family val="2"/>
    </font>
    <font>
      <b/>
      <sz val="9"/>
      <color indexed="8"/>
      <name val="Arial"/>
      <family val="2"/>
    </font>
    <font>
      <vertAlign val="superscript"/>
      <sz val="10"/>
      <name val="Arial"/>
      <family val="2"/>
    </font>
    <font>
      <i/>
      <sz val="9"/>
      <name val="Arial"/>
      <family val="2"/>
    </font>
    <font>
      <sz val="10"/>
      <color rgb="FF009B73"/>
      <name val="Arial"/>
      <family val="2"/>
    </font>
    <font>
      <b/>
      <sz val="9"/>
      <color indexed="81"/>
      <name val="Arial"/>
      <family val="2"/>
    </font>
    <font>
      <sz val="9"/>
      <color indexed="81"/>
      <name val="Arial"/>
      <family val="2"/>
    </font>
    <font>
      <i/>
      <sz val="10"/>
      <color rgb="FF009B73"/>
      <name val="Arial"/>
      <family val="2"/>
    </font>
    <font>
      <b/>
      <sz val="10"/>
      <color rgb="FF009B73"/>
      <name val="Arial"/>
      <family val="2"/>
    </font>
    <font>
      <sz val="9"/>
      <color rgb="FF009B73"/>
      <name val="Arial"/>
      <family val="2"/>
    </font>
    <font>
      <b/>
      <sz val="20"/>
      <color indexed="12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b/>
      <i/>
      <sz val="10"/>
      <color theme="0"/>
      <name val="Arial"/>
      <family val="2"/>
    </font>
    <font>
      <i/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rgb="FF4586BB"/>
      <name val="Arial"/>
      <family val="2"/>
    </font>
    <font>
      <b/>
      <sz val="8"/>
      <color rgb="FF008ED6"/>
      <name val="Arial"/>
      <family val="2"/>
    </font>
    <font>
      <sz val="10"/>
      <color rgb="FF002F6C"/>
      <name val="Arial"/>
      <family val="2"/>
    </font>
    <font>
      <i/>
      <sz val="9"/>
      <color rgb="FF002F6C"/>
      <name val="Arial"/>
      <family val="2"/>
    </font>
    <font>
      <sz val="9"/>
      <color rgb="FF002F6C"/>
      <name val="Arial"/>
      <family val="2"/>
    </font>
    <font>
      <u/>
      <sz val="10"/>
      <color indexed="12"/>
      <name val="Arial"/>
      <family val="2"/>
    </font>
    <font>
      <sz val="10"/>
      <color theme="4" tint="-0.249977111117893"/>
      <name val="Arial"/>
      <family val="2"/>
    </font>
    <font>
      <b/>
      <sz val="10"/>
      <color theme="3"/>
      <name val="Arial"/>
      <family val="2"/>
    </font>
    <font>
      <sz val="8"/>
      <color theme="3"/>
      <name val="Arial"/>
      <family val="2"/>
    </font>
    <font>
      <b/>
      <sz val="8"/>
      <color theme="3"/>
      <name val="Arial"/>
      <family val="2"/>
    </font>
    <font>
      <b/>
      <sz val="14"/>
      <color theme="4" tint="-0.249977111117893"/>
      <name val="Arial"/>
      <family val="2"/>
    </font>
    <font>
      <b/>
      <sz val="22"/>
      <color theme="0"/>
      <name val="Arial"/>
      <family val="2"/>
    </font>
    <font>
      <b/>
      <sz val="18"/>
      <color theme="0"/>
      <name val="Arial"/>
      <family val="2"/>
    </font>
    <font>
      <b/>
      <sz val="20"/>
      <color theme="0"/>
      <name val="Arial"/>
      <family val="2"/>
    </font>
    <font>
      <u/>
      <sz val="10"/>
      <color theme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b/>
      <sz val="10"/>
      <color rgb="FF366092"/>
      <name val="Arial"/>
      <family val="2"/>
    </font>
    <font>
      <sz val="10"/>
      <color rgb="FF1F3864"/>
      <name val="Arial"/>
      <family val="2"/>
    </font>
    <font>
      <i/>
      <sz val="9"/>
      <color rgb="FF808080"/>
      <name val="Arial"/>
      <family val="2"/>
    </font>
    <font>
      <b/>
      <sz val="10"/>
      <color rgb="FF1F3864"/>
      <name val="Arial"/>
      <family val="2"/>
    </font>
    <font>
      <b/>
      <sz val="9"/>
      <color rgb="FF1F3864"/>
      <name val="Arial"/>
      <family val="2"/>
    </font>
    <font>
      <b/>
      <u/>
      <sz val="10"/>
      <color rgb="FF1F3864"/>
      <name val="Arial"/>
      <family val="2"/>
    </font>
    <font>
      <b/>
      <sz val="8"/>
      <color rgb="FF000000"/>
      <name val="Arial"/>
      <family val="2"/>
    </font>
    <font>
      <b/>
      <sz val="11"/>
      <color rgb="FF366092"/>
      <name val="Arial"/>
      <family val="2"/>
    </font>
    <font>
      <b/>
      <sz val="11"/>
      <color rgb="FF366092"/>
      <name val="Arial"/>
      <family val="2"/>
    </font>
    <font>
      <b/>
      <sz val="10"/>
      <color rgb="FF0F243E"/>
      <name val="Arial"/>
      <family val="2"/>
    </font>
    <font>
      <b/>
      <sz val="14"/>
      <color rgb="FF366092"/>
      <name val="Arial"/>
      <family val="2"/>
    </font>
    <font>
      <b/>
      <sz val="28"/>
      <color rgb="FFFFFFFF"/>
      <name val="Arial"/>
      <family val="2"/>
    </font>
    <font>
      <sz val="2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F6C"/>
        <bgColor indexed="64"/>
      </patternFill>
    </fill>
    <fill>
      <patternFill patternType="solid">
        <fgColor rgb="FF009966"/>
        <bgColor indexed="64"/>
      </patternFill>
    </fill>
    <fill>
      <patternFill patternType="solid">
        <fgColor rgb="FF5B77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F243E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4586BB"/>
      </left>
      <right/>
      <top style="thin">
        <color rgb="FF4586BB"/>
      </top>
      <bottom/>
      <diagonal/>
    </border>
    <border>
      <left/>
      <right/>
      <top style="thin">
        <color rgb="FF4586BB"/>
      </top>
      <bottom/>
      <diagonal/>
    </border>
    <border>
      <left/>
      <right style="thin">
        <color rgb="FF4586BB"/>
      </right>
      <top style="thin">
        <color rgb="FF4586BB"/>
      </top>
      <bottom/>
      <diagonal/>
    </border>
    <border>
      <left style="thin">
        <color rgb="FF4586BB"/>
      </left>
      <right/>
      <top/>
      <bottom/>
      <diagonal/>
    </border>
    <border>
      <left/>
      <right style="thin">
        <color rgb="FF4586BB"/>
      </right>
      <top/>
      <bottom/>
      <diagonal/>
    </border>
    <border>
      <left style="thin">
        <color rgb="FF4586BB"/>
      </left>
      <right/>
      <top/>
      <bottom style="thin">
        <color rgb="FF4586BB"/>
      </bottom>
      <diagonal/>
    </border>
    <border>
      <left/>
      <right/>
      <top/>
      <bottom style="thin">
        <color rgb="FF4586BB"/>
      </bottom>
      <diagonal/>
    </border>
    <border>
      <left/>
      <right style="thin">
        <color rgb="FF4586BB"/>
      </right>
      <top/>
      <bottom style="thin">
        <color rgb="FF4586BB"/>
      </bottom>
      <diagonal/>
    </border>
    <border>
      <left style="thin">
        <color rgb="FF002F6C"/>
      </left>
      <right/>
      <top style="thin">
        <color rgb="FF002F6C"/>
      </top>
      <bottom/>
      <diagonal/>
    </border>
    <border>
      <left/>
      <right/>
      <top style="thin">
        <color rgb="FF002F6C"/>
      </top>
      <bottom/>
      <diagonal/>
    </border>
    <border>
      <left/>
      <right/>
      <top style="thin">
        <color rgb="FF002F6C"/>
      </top>
      <bottom style="thin">
        <color theme="0"/>
      </bottom>
      <diagonal/>
    </border>
    <border>
      <left/>
      <right style="thin">
        <color rgb="FF002F6C"/>
      </right>
      <top style="thin">
        <color rgb="FF002F6C"/>
      </top>
      <bottom/>
      <diagonal/>
    </border>
    <border>
      <left style="thin">
        <color rgb="FF002F6C"/>
      </left>
      <right/>
      <top/>
      <bottom/>
      <diagonal/>
    </border>
    <border>
      <left/>
      <right style="thin">
        <color rgb="FF002F6C"/>
      </right>
      <top/>
      <bottom/>
      <diagonal/>
    </border>
    <border>
      <left style="thin">
        <color rgb="FF002F6C"/>
      </left>
      <right/>
      <top/>
      <bottom style="thin">
        <color rgb="FF002F6C"/>
      </bottom>
      <diagonal/>
    </border>
    <border>
      <left/>
      <right/>
      <top/>
      <bottom style="thin">
        <color rgb="FF002F6C"/>
      </bottom>
      <diagonal/>
    </border>
    <border>
      <left/>
      <right style="thin">
        <color rgb="FF002F6C"/>
      </right>
      <top/>
      <bottom style="thin">
        <color rgb="FF002F6C"/>
      </bottom>
      <diagonal/>
    </border>
    <border>
      <left style="thin">
        <color rgb="FF002F6C"/>
      </left>
      <right/>
      <top/>
      <bottom style="thin">
        <color rgb="FF4586BB"/>
      </bottom>
      <diagonal/>
    </border>
    <border>
      <left/>
      <right style="thin">
        <color rgb="FF002F6C"/>
      </right>
      <top/>
      <bottom style="thin">
        <color rgb="FF4586BB"/>
      </bottom>
      <diagonal/>
    </border>
    <border>
      <left/>
      <right/>
      <top/>
      <bottom style="dotted">
        <color rgb="FF009966"/>
      </bottom>
      <diagonal/>
    </border>
    <border>
      <left/>
      <right/>
      <top style="thin">
        <color rgb="FF5B77CC"/>
      </top>
      <bottom/>
      <diagonal/>
    </border>
    <border>
      <left/>
      <right style="thin">
        <color rgb="FF4586BB"/>
      </right>
      <top style="thin">
        <color rgb="FF5B77CC"/>
      </top>
      <bottom/>
      <diagonal/>
    </border>
    <border>
      <left/>
      <right style="thin">
        <color indexed="64"/>
      </right>
      <top/>
      <bottom style="thin">
        <color rgb="FF4586BB"/>
      </bottom>
      <diagonal/>
    </border>
    <border>
      <left/>
      <right style="thin">
        <color theme="3"/>
      </right>
      <top/>
      <bottom/>
      <diagonal/>
    </border>
    <border>
      <left/>
      <right style="hair">
        <color theme="3"/>
      </right>
      <top/>
      <bottom/>
      <diagonal/>
    </border>
    <border>
      <left/>
      <right/>
      <top style="thin">
        <color rgb="FF1F3864"/>
      </top>
      <bottom/>
      <diagonal/>
    </border>
  </borders>
  <cellStyleXfs count="15">
    <xf numFmtId="0" fontId="0" fillId="0" borderId="0"/>
    <xf numFmtId="0" fontId="1" fillId="0" borderId="0" applyNumberFormat="0" applyFont="0" applyFill="0" applyBorder="0" applyProtection="0">
      <alignment horizontal="centerContinuous"/>
    </xf>
    <xf numFmtId="0" fontId="1" fillId="0" borderId="1" applyNumberFormat="0" applyFont="0" applyFill="0" applyAlignment="0" applyProtection="0"/>
    <xf numFmtId="0" fontId="1" fillId="0" borderId="0" applyNumberFormat="0" applyFont="0" applyFill="0" applyBorder="0" applyProtection="0">
      <alignment horizontal="center"/>
    </xf>
    <xf numFmtId="168" fontId="2" fillId="0" borderId="0" applyFont="0" applyFill="0" applyBorder="0" applyAlignment="0" applyProtection="0"/>
    <xf numFmtId="167" fontId="4" fillId="0" borderId="2">
      <protection locked="0"/>
    </xf>
    <xf numFmtId="0" fontId="1" fillId="0" borderId="3" applyNumberFormat="0" applyFont="0" applyFill="0" applyAlignment="0" applyProtection="0"/>
    <xf numFmtId="0" fontId="3" fillId="0" borderId="0"/>
    <xf numFmtId="0" fontId="6" fillId="0" borderId="0"/>
    <xf numFmtId="0" fontId="5" fillId="0" borderId="0" applyNumberFormat="0" applyFill="0" applyBorder="0" applyAlignment="0" applyProtection="0"/>
    <xf numFmtId="183" fontId="2" fillId="0" borderId="0" applyNumberFormat="0" applyFill="0" applyBorder="0" applyAlignment="0" applyProtection="0"/>
    <xf numFmtId="0" fontId="1" fillId="0" borderId="4" applyNumberFormat="0" applyFont="0" applyFill="0" applyAlignment="0" applyProtection="0"/>
    <xf numFmtId="0" fontId="7" fillId="0" borderId="0"/>
    <xf numFmtId="9" fontId="3" fillId="0" borderId="0" applyFont="0" applyFill="0" applyBorder="0" applyAlignment="0" applyProtection="0"/>
    <xf numFmtId="0" fontId="80" fillId="0" borderId="0" applyNumberFormat="0" applyFill="0" applyBorder="0" applyAlignment="0" applyProtection="0"/>
  </cellStyleXfs>
  <cellXfs count="621">
    <xf numFmtId="0" fontId="0" fillId="0" borderId="0" xfId="0"/>
    <xf numFmtId="0" fontId="9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8" xfId="0" applyBorder="1"/>
    <xf numFmtId="0" fontId="0" fillId="0" borderId="5" xfId="0" applyBorder="1"/>
    <xf numFmtId="14" fontId="0" fillId="0" borderId="0" xfId="0" applyNumberFormat="1" applyAlignment="1">
      <alignment horizontal="left"/>
    </xf>
    <xf numFmtId="37" fontId="13" fillId="0" borderId="0" xfId="0" applyNumberFormat="1" applyFont="1" applyAlignment="1">
      <alignment horizontal="right"/>
    </xf>
    <xf numFmtId="10" fontId="0" fillId="0" borderId="0" xfId="0" applyNumberFormat="1"/>
    <xf numFmtId="0" fontId="0" fillId="0" borderId="0" xfId="0" quotePrefix="1" applyAlignment="1">
      <alignment horizontal="left"/>
    </xf>
    <xf numFmtId="0" fontId="0" fillId="0" borderId="1" xfId="0" applyBorder="1"/>
    <xf numFmtId="0" fontId="0" fillId="0" borderId="10" xfId="0" applyBorder="1"/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centerContinuous" vertical="center"/>
    </xf>
    <xf numFmtId="0" fontId="15" fillId="0" borderId="0" xfId="0" applyFont="1" applyAlignment="1">
      <alignment horizontal="centerContinuous"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Continuous"/>
    </xf>
    <xf numFmtId="0" fontId="14" fillId="0" borderId="0" xfId="0" applyFont="1"/>
    <xf numFmtId="0" fontId="0" fillId="0" borderId="5" xfId="0" applyBorder="1" applyAlignment="1">
      <alignment horizontal="left"/>
    </xf>
    <xf numFmtId="0" fontId="13" fillId="0" borderId="0" xfId="0" applyFont="1"/>
    <xf numFmtId="180" fontId="0" fillId="0" borderId="0" xfId="0" quotePrefix="1" applyNumberFormat="1" applyAlignment="1">
      <alignment horizontal="left"/>
    </xf>
    <xf numFmtId="179" fontId="0" fillId="0" borderId="1" xfId="0" applyNumberFormat="1" applyBorder="1" applyAlignment="1">
      <alignment horizontal="left"/>
    </xf>
    <xf numFmtId="0" fontId="0" fillId="0" borderId="0" xfId="0" applyAlignment="1">
      <alignment horizontal="center" vertical="center"/>
    </xf>
    <xf numFmtId="189" fontId="13" fillId="0" borderId="0" xfId="0" applyNumberFormat="1" applyFont="1" applyAlignment="1">
      <alignment horizontal="right"/>
    </xf>
    <xf numFmtId="0" fontId="0" fillId="0" borderId="0" xfId="0" quotePrefix="1"/>
    <xf numFmtId="0" fontId="17" fillId="0" borderId="0" xfId="0" applyFont="1"/>
    <xf numFmtId="0" fontId="0" fillId="0" borderId="7" xfId="0" applyBorder="1"/>
    <xf numFmtId="173" fontId="13" fillId="0" borderId="0" xfId="0" applyNumberFormat="1" applyFont="1"/>
    <xf numFmtId="179" fontId="0" fillId="0" borderId="0" xfId="0" applyNumberFormat="1" applyAlignment="1">
      <alignment horizontal="left"/>
    </xf>
    <xf numFmtId="0" fontId="18" fillId="0" borderId="0" xfId="8" applyFont="1"/>
    <xf numFmtId="0" fontId="3" fillId="0" borderId="0" xfId="8" applyFont="1"/>
    <xf numFmtId="0" fontId="20" fillId="0" borderId="0" xfId="8" quotePrefix="1" applyFont="1" applyAlignment="1">
      <alignment horizontal="left"/>
    </xf>
    <xf numFmtId="0" fontId="20" fillId="0" borderId="0" xfId="8" quotePrefix="1" applyFont="1" applyAlignment="1">
      <alignment horizontal="center"/>
    </xf>
    <xf numFmtId="0" fontId="3" fillId="0" borderId="7" xfId="8" applyFont="1" applyBorder="1"/>
    <xf numFmtId="0" fontId="3" fillId="0" borderId="8" xfId="8" applyFont="1" applyBorder="1"/>
    <xf numFmtId="0" fontId="3" fillId="0" borderId="8" xfId="8" applyFont="1" applyBorder="1" applyAlignment="1">
      <alignment horizontal="center"/>
    </xf>
    <xf numFmtId="0" fontId="3" fillId="0" borderId="9" xfId="8" applyFont="1" applyBorder="1" applyAlignment="1">
      <alignment horizontal="center"/>
    </xf>
    <xf numFmtId="0" fontId="12" fillId="0" borderId="1" xfId="8" applyFont="1" applyBorder="1" applyAlignment="1">
      <alignment horizontal="centerContinuous"/>
    </xf>
    <xf numFmtId="0" fontId="12" fillId="0" borderId="5" xfId="8" applyFont="1" applyBorder="1" applyAlignment="1">
      <alignment vertical="center"/>
    </xf>
    <xf numFmtId="0" fontId="12" fillId="0" borderId="0" xfId="8" applyFont="1"/>
    <xf numFmtId="0" fontId="21" fillId="0" borderId="6" xfId="8" applyFont="1" applyBorder="1" applyAlignment="1">
      <alignment horizontal="center" vertical="center"/>
    </xf>
    <xf numFmtId="0" fontId="14" fillId="0" borderId="0" xfId="8" quotePrefix="1" applyFont="1" applyAlignment="1">
      <alignment horizontal="right"/>
    </xf>
    <xf numFmtId="0" fontId="12" fillId="0" borderId="10" xfId="8" applyFont="1" applyBorder="1"/>
    <xf numFmtId="0" fontId="12" fillId="0" borderId="1" xfId="8" applyFont="1" applyBorder="1"/>
    <xf numFmtId="0" fontId="12" fillId="0" borderId="1" xfId="8" applyFont="1" applyBorder="1" applyAlignment="1">
      <alignment horizontal="center"/>
    </xf>
    <xf numFmtId="0" fontId="12" fillId="0" borderId="11" xfId="8" applyFont="1" applyBorder="1" applyAlignment="1">
      <alignment horizontal="center"/>
    </xf>
    <xf numFmtId="0" fontId="14" fillId="0" borderId="0" xfId="8" applyFont="1" applyAlignment="1">
      <alignment horizontal="right"/>
    </xf>
    <xf numFmtId="0" fontId="12" fillId="0" borderId="0" xfId="8" applyFont="1" applyAlignment="1">
      <alignment horizontal="center"/>
    </xf>
    <xf numFmtId="0" fontId="22" fillId="0" borderId="0" xfId="8" quotePrefix="1" applyFont="1" applyAlignment="1">
      <alignment horizontal="left"/>
    </xf>
    <xf numFmtId="0" fontId="23" fillId="0" borderId="0" xfId="8" applyFont="1" applyAlignment="1">
      <alignment horizontal="left"/>
    </xf>
    <xf numFmtId="0" fontId="3" fillId="0" borderId="0" xfId="8" applyFont="1" applyAlignment="1">
      <alignment horizontal="center"/>
    </xf>
    <xf numFmtId="0" fontId="12" fillId="0" borderId="0" xfId="8" applyFont="1" applyAlignment="1">
      <alignment horizontal="left" vertical="center"/>
    </xf>
    <xf numFmtId="0" fontId="21" fillId="0" borderId="0" xfId="8" applyFont="1" applyAlignment="1">
      <alignment horizontal="center"/>
    </xf>
    <xf numFmtId="0" fontId="12" fillId="0" borderId="0" xfId="8" quotePrefix="1" applyFont="1" applyAlignment="1">
      <alignment horizontal="left"/>
    </xf>
    <xf numFmtId="171" fontId="13" fillId="0" borderId="0" xfId="0" applyNumberFormat="1" applyFont="1"/>
    <xf numFmtId="171" fontId="3" fillId="0" borderId="0" xfId="0" applyNumberFormat="1" applyFont="1"/>
    <xf numFmtId="171" fontId="24" fillId="0" borderId="16" xfId="0" applyNumberFormat="1" applyFont="1" applyBorder="1"/>
    <xf numFmtId="171" fontId="24" fillId="0" borderId="17" xfId="0" applyNumberFormat="1" applyFont="1" applyBorder="1"/>
    <xf numFmtId="171" fontId="24" fillId="0" borderId="18" xfId="0" applyNumberFormat="1" applyFont="1" applyBorder="1"/>
    <xf numFmtId="171" fontId="24" fillId="0" borderId="19" xfId="0" applyNumberFormat="1" applyFont="1" applyBorder="1"/>
    <xf numFmtId="171" fontId="24" fillId="0" borderId="0" xfId="0" applyNumberFormat="1" applyFont="1"/>
    <xf numFmtId="171" fontId="24" fillId="0" borderId="20" xfId="0" applyNumberFormat="1" applyFont="1" applyBorder="1"/>
    <xf numFmtId="171" fontId="24" fillId="0" borderId="21" xfId="0" applyNumberFormat="1" applyFont="1" applyBorder="1"/>
    <xf numFmtId="171" fontId="24" fillId="0" borderId="22" xfId="0" applyNumberFormat="1" applyFont="1" applyBorder="1"/>
    <xf numFmtId="171" fontId="24" fillId="0" borderId="23" xfId="0" applyNumberFormat="1" applyFont="1" applyBorder="1"/>
    <xf numFmtId="0" fontId="3" fillId="0" borderId="0" xfId="8" applyFont="1" applyAlignment="1">
      <alignment horizontal="left"/>
    </xf>
    <xf numFmtId="0" fontId="25" fillId="0" borderId="0" xfId="8" applyFont="1" applyAlignment="1">
      <alignment horizontal="center"/>
    </xf>
    <xf numFmtId="176" fontId="24" fillId="0" borderId="0" xfId="4" applyNumberFormat="1" applyFont="1" applyBorder="1" applyAlignment="1" applyProtection="1">
      <alignment horizontal="right"/>
    </xf>
    <xf numFmtId="176" fontId="26" fillId="0" borderId="0" xfId="4" applyNumberFormat="1" applyFont="1" applyBorder="1" applyAlignment="1" applyProtection="1">
      <alignment horizontal="right"/>
    </xf>
    <xf numFmtId="0" fontId="3" fillId="0" borderId="22" xfId="8" applyFont="1" applyBorder="1"/>
    <xf numFmtId="0" fontId="3" fillId="0" borderId="22" xfId="8" applyFont="1" applyBorder="1" applyAlignment="1">
      <alignment horizontal="center"/>
    </xf>
    <xf numFmtId="0" fontId="3" fillId="0" borderId="0" xfId="8" applyFont="1" applyAlignment="1">
      <alignment vertical="center"/>
    </xf>
    <xf numFmtId="0" fontId="21" fillId="0" borderId="0" xfId="8" applyFont="1" applyAlignment="1">
      <alignment horizontal="center" vertical="center"/>
    </xf>
    <xf numFmtId="0" fontId="12" fillId="0" borderId="0" xfId="8" applyFont="1" applyAlignment="1">
      <alignment horizontal="left"/>
    </xf>
    <xf numFmtId="184" fontId="27" fillId="0" borderId="0" xfId="0" applyNumberFormat="1" applyFont="1"/>
    <xf numFmtId="182" fontId="3" fillId="0" borderId="0" xfId="8" applyNumberFormat="1" applyFont="1"/>
    <xf numFmtId="37" fontId="3" fillId="0" borderId="0" xfId="8" applyNumberFormat="1" applyFont="1"/>
    <xf numFmtId="0" fontId="3" fillId="0" borderId="0" xfId="8" quotePrefix="1" applyFont="1" applyAlignment="1">
      <alignment horizontal="left"/>
    </xf>
    <xf numFmtId="37" fontId="24" fillId="0" borderId="0" xfId="0" applyNumberFormat="1" applyFont="1"/>
    <xf numFmtId="37" fontId="25" fillId="0" borderId="0" xfId="0" applyNumberFormat="1" applyFont="1"/>
    <xf numFmtId="0" fontId="3" fillId="0" borderId="1" xfId="8" applyFont="1" applyBorder="1"/>
    <xf numFmtId="0" fontId="3" fillId="0" borderId="1" xfId="8" applyFont="1" applyBorder="1" applyAlignment="1">
      <alignment horizontal="center"/>
    </xf>
    <xf numFmtId="0" fontId="13" fillId="0" borderId="0" xfId="8" applyFont="1"/>
    <xf numFmtId="0" fontId="10" fillId="0" borderId="0" xfId="0" applyFont="1" applyAlignment="1">
      <alignment horizontal="left"/>
    </xf>
    <xf numFmtId="0" fontId="25" fillId="0" borderId="0" xfId="0" applyFont="1" applyAlignment="1">
      <alignment horizontal="centerContinuous"/>
    </xf>
    <xf numFmtId="0" fontId="9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Continuous"/>
    </xf>
    <xf numFmtId="0" fontId="29" fillId="0" borderId="0" xfId="0" applyFont="1" applyAlignment="1">
      <alignment horizontal="centerContinuous"/>
    </xf>
    <xf numFmtId="0" fontId="30" fillId="0" borderId="0" xfId="0" applyFont="1" applyAlignment="1">
      <alignment horizontal="centerContinuous"/>
    </xf>
    <xf numFmtId="0" fontId="25" fillId="0" borderId="0" xfId="0" applyFont="1"/>
    <xf numFmtId="0" fontId="12" fillId="0" borderId="0" xfId="0" applyFont="1" applyAlignment="1">
      <alignment horizontal="centerContinuous"/>
    </xf>
    <xf numFmtId="0" fontId="31" fillId="0" borderId="1" xfId="0" applyFont="1" applyBorder="1" applyAlignment="1">
      <alignment horizontal="centerContinuous"/>
    </xf>
    <xf numFmtId="0" fontId="32" fillId="0" borderId="0" xfId="0" applyFont="1"/>
    <xf numFmtId="0" fontId="12" fillId="0" borderId="0" xfId="0" quotePrefix="1" applyFont="1" applyAlignment="1">
      <alignment horizontal="left"/>
    </xf>
    <xf numFmtId="0" fontId="5" fillId="0" borderId="0" xfId="0" applyFont="1"/>
    <xf numFmtId="171" fontId="0" fillId="0" borderId="0" xfId="0" applyNumberFormat="1"/>
    <xf numFmtId="0" fontId="5" fillId="0" borderId="0" xfId="0" quotePrefix="1" applyFont="1" applyAlignment="1">
      <alignment horizontal="left"/>
    </xf>
    <xf numFmtId="169" fontId="33" fillId="0" borderId="0" xfId="4" applyNumberFormat="1" applyFont="1" applyFill="1" applyBorder="1" applyProtection="1"/>
    <xf numFmtId="169" fontId="33" fillId="0" borderId="0" xfId="4" applyNumberFormat="1" applyFont="1" applyFill="1" applyProtection="1"/>
    <xf numFmtId="171" fontId="35" fillId="0" borderId="0" xfId="0" applyNumberFormat="1" applyFont="1"/>
    <xf numFmtId="171" fontId="20" fillId="0" borderId="0" xfId="0" applyNumberFormat="1" applyFont="1"/>
    <xf numFmtId="169" fontId="13" fillId="0" borderId="0" xfId="4" applyNumberFormat="1" applyFont="1" applyFill="1" applyBorder="1" applyProtection="1"/>
    <xf numFmtId="169" fontId="13" fillId="0" borderId="1" xfId="4" applyNumberFormat="1" applyFont="1" applyFill="1" applyBorder="1" applyProtection="1"/>
    <xf numFmtId="0" fontId="12" fillId="0" borderId="0" xfId="0" applyFont="1" applyAlignment="1">
      <alignment horizontal="left"/>
    </xf>
    <xf numFmtId="0" fontId="28" fillId="0" borderId="0" xfId="0" quotePrefix="1" applyFont="1" applyAlignment="1">
      <alignment horizontal="left"/>
    </xf>
    <xf numFmtId="169" fontId="12" fillId="0" borderId="0" xfId="4" applyNumberFormat="1" applyFont="1" applyFill="1" applyBorder="1" applyProtection="1"/>
    <xf numFmtId="169" fontId="12" fillId="0" borderId="0" xfId="4" applyNumberFormat="1" applyFont="1" applyFill="1" applyProtection="1"/>
    <xf numFmtId="0" fontId="0" fillId="0" borderId="22" xfId="0" applyBorder="1"/>
    <xf numFmtId="0" fontId="12" fillId="0" borderId="22" xfId="0" quotePrefix="1" applyFont="1" applyBorder="1" applyAlignment="1">
      <alignment horizontal="left"/>
    </xf>
    <xf numFmtId="0" fontId="28" fillId="0" borderId="22" xfId="0" quotePrefix="1" applyFont="1" applyBorder="1" applyAlignment="1">
      <alignment horizontal="left"/>
    </xf>
    <xf numFmtId="170" fontId="36" fillId="0" borderId="22" xfId="4" applyNumberFormat="1" applyFont="1" applyFill="1" applyBorder="1" applyProtection="1"/>
    <xf numFmtId="170" fontId="12" fillId="0" borderId="22" xfId="4" applyNumberFormat="1" applyFont="1" applyFill="1" applyBorder="1" applyProtection="1"/>
    <xf numFmtId="170" fontId="36" fillId="0" borderId="0" xfId="4" applyNumberFormat="1" applyFont="1" applyFill="1" applyProtection="1"/>
    <xf numFmtId="170" fontId="12" fillId="0" borderId="0" xfId="4" applyNumberFormat="1" applyFont="1" applyFill="1" applyProtection="1"/>
    <xf numFmtId="169" fontId="0" fillId="0" borderId="0" xfId="4" applyNumberFormat="1" applyFont="1" applyFill="1" applyProtection="1"/>
    <xf numFmtId="171" fontId="20" fillId="0" borderId="1" xfId="0" applyNumberFormat="1" applyFont="1" applyBorder="1"/>
    <xf numFmtId="0" fontId="12" fillId="0" borderId="0" xfId="0" applyFont="1"/>
    <xf numFmtId="0" fontId="28" fillId="0" borderId="0" xfId="0" applyFont="1"/>
    <xf numFmtId="169" fontId="37" fillId="0" borderId="0" xfId="4" applyNumberFormat="1" applyFont="1" applyFill="1" applyBorder="1" applyProtection="1"/>
    <xf numFmtId="185" fontId="0" fillId="0" borderId="0" xfId="0" applyNumberFormat="1"/>
    <xf numFmtId="0" fontId="5" fillId="0" borderId="22" xfId="0" applyFont="1" applyBorder="1"/>
    <xf numFmtId="0" fontId="13" fillId="0" borderId="0" xfId="0" applyFont="1" applyAlignment="1">
      <alignment horizontal="center"/>
    </xf>
    <xf numFmtId="175" fontId="0" fillId="0" borderId="0" xfId="4" applyNumberFormat="1" applyFont="1" applyFill="1" applyBorder="1" applyProtection="1"/>
    <xf numFmtId="175" fontId="0" fillId="0" borderId="0" xfId="4" applyNumberFormat="1" applyFont="1" applyFill="1" applyProtection="1"/>
    <xf numFmtId="173" fontId="12" fillId="0" borderId="0" xfId="4" applyNumberFormat="1" applyFont="1" applyFill="1" applyBorder="1" applyProtection="1"/>
    <xf numFmtId="173" fontId="12" fillId="0" borderId="8" xfId="4" applyNumberFormat="1" applyFont="1" applyFill="1" applyBorder="1" applyProtection="1"/>
    <xf numFmtId="0" fontId="25" fillId="0" borderId="1" xfId="0" applyFont="1" applyBorder="1"/>
    <xf numFmtId="0" fontId="28" fillId="0" borderId="0" xfId="0" applyFont="1" applyAlignment="1">
      <alignment horizontal="right" vertical="center"/>
    </xf>
    <xf numFmtId="0" fontId="14" fillId="0" borderId="0" xfId="0" quotePrefix="1" applyFont="1" applyAlignment="1">
      <alignment horizontal="right"/>
    </xf>
    <xf numFmtId="0" fontId="0" fillId="0" borderId="16" xfId="0" applyBorder="1"/>
    <xf numFmtId="0" fontId="0" fillId="0" borderId="17" xfId="0" applyBorder="1"/>
    <xf numFmtId="0" fontId="5" fillId="0" borderId="17" xfId="0" applyFont="1" applyBorder="1"/>
    <xf numFmtId="0" fontId="14" fillId="0" borderId="17" xfId="0" applyFont="1" applyBorder="1"/>
    <xf numFmtId="172" fontId="0" fillId="0" borderId="17" xfId="0" applyNumberFormat="1" applyBorder="1"/>
    <xf numFmtId="172" fontId="0" fillId="0" borderId="18" xfId="0" applyNumberFormat="1" applyBorder="1"/>
    <xf numFmtId="0" fontId="0" fillId="0" borderId="21" xfId="0" applyBorder="1"/>
    <xf numFmtId="0" fontId="14" fillId="0" borderId="22" xfId="0" applyFont="1" applyBorder="1"/>
    <xf numFmtId="171" fontId="0" fillId="0" borderId="22" xfId="0" applyNumberFormat="1" applyBorder="1" applyAlignment="1">
      <alignment horizontal="right"/>
    </xf>
    <xf numFmtId="185" fontId="0" fillId="0" borderId="22" xfId="0" applyNumberFormat="1" applyBorder="1" applyAlignment="1">
      <alignment horizontal="right"/>
    </xf>
    <xf numFmtId="185" fontId="0" fillId="0" borderId="23" xfId="0" applyNumberFormat="1" applyBorder="1" applyAlignment="1">
      <alignment horizontal="right"/>
    </xf>
    <xf numFmtId="0" fontId="31" fillId="0" borderId="0" xfId="0" applyFont="1"/>
    <xf numFmtId="0" fontId="31" fillId="0" borderId="0" xfId="0" applyFont="1" applyAlignment="1">
      <alignment horizontal="left"/>
    </xf>
    <xf numFmtId="172" fontId="13" fillId="0" borderId="0" xfId="4" applyNumberFormat="1" applyFont="1" applyBorder="1" applyProtection="1"/>
    <xf numFmtId="172" fontId="0" fillId="0" borderId="0" xfId="4" applyNumberFormat="1" applyFont="1" applyBorder="1" applyProtection="1"/>
    <xf numFmtId="0" fontId="38" fillId="0" borderId="0" xfId="0" applyFont="1"/>
    <xf numFmtId="172" fontId="12" fillId="0" borderId="0" xfId="4" applyNumberFormat="1" applyFont="1" applyBorder="1" applyProtection="1"/>
    <xf numFmtId="37" fontId="0" fillId="0" borderId="0" xfId="4" applyNumberFormat="1" applyFont="1" applyBorder="1" applyProtection="1"/>
    <xf numFmtId="39" fontId="13" fillId="0" borderId="0" xfId="4" applyNumberFormat="1" applyFont="1" applyBorder="1" applyProtection="1"/>
    <xf numFmtId="39" fontId="0" fillId="0" borderId="0" xfId="4" applyNumberFormat="1" applyFont="1" applyBorder="1" applyProtection="1"/>
    <xf numFmtId="37" fontId="0" fillId="0" borderId="0" xfId="0" applyNumberFormat="1"/>
    <xf numFmtId="37" fontId="12" fillId="0" borderId="0" xfId="4" applyNumberFormat="1" applyFont="1" applyBorder="1" applyProtection="1"/>
    <xf numFmtId="173" fontId="12" fillId="0" borderId="0" xfId="4" applyNumberFormat="1" applyFont="1" applyBorder="1" applyProtection="1"/>
    <xf numFmtId="173" fontId="12" fillId="0" borderId="26" xfId="4" applyNumberFormat="1" applyFont="1" applyBorder="1" applyProtection="1"/>
    <xf numFmtId="0" fontId="12" fillId="0" borderId="22" xfId="0" applyFont="1" applyBorder="1"/>
    <xf numFmtId="0" fontId="38" fillId="0" borderId="22" xfId="0" applyFont="1" applyBorder="1"/>
    <xf numFmtId="37" fontId="12" fillId="0" borderId="22" xfId="4" applyNumberFormat="1" applyFont="1" applyBorder="1" applyProtection="1"/>
    <xf numFmtId="0" fontId="12" fillId="0" borderId="1" xfId="0" quotePrefix="1" applyFont="1" applyBorder="1" applyAlignment="1">
      <alignment horizontal="left"/>
    </xf>
    <xf numFmtId="0" fontId="12" fillId="0" borderId="1" xfId="0" applyFont="1" applyBorder="1"/>
    <xf numFmtId="0" fontId="38" fillId="0" borderId="1" xfId="0" applyFont="1" applyBorder="1"/>
    <xf numFmtId="37" fontId="12" fillId="0" borderId="1" xfId="4" applyNumberFormat="1" applyFont="1" applyBorder="1" applyProtection="1"/>
    <xf numFmtId="170" fontId="0" fillId="0" borderId="0" xfId="4" applyNumberFormat="1" applyFont="1" applyBorder="1" applyProtection="1"/>
    <xf numFmtId="0" fontId="20" fillId="0" borderId="0" xfId="0" quotePrefix="1" applyFont="1"/>
    <xf numFmtId="164" fontId="13" fillId="0" borderId="0" xfId="0" applyNumberFormat="1" applyFont="1"/>
    <xf numFmtId="0" fontId="0" fillId="0" borderId="24" xfId="0" applyBorder="1"/>
    <xf numFmtId="0" fontId="0" fillId="0" borderId="25" xfId="0" applyBorder="1"/>
    <xf numFmtId="0" fontId="14" fillId="0" borderId="25" xfId="0" applyFont="1" applyBorder="1"/>
    <xf numFmtId="172" fontId="0" fillId="0" borderId="25" xfId="4" applyNumberFormat="1" applyFont="1" applyBorder="1" applyAlignment="1" applyProtection="1">
      <alignment horizontal="right"/>
    </xf>
    <xf numFmtId="172" fontId="13" fillId="0" borderId="1" xfId="4" applyNumberFormat="1" applyFont="1" applyBorder="1" applyProtection="1"/>
    <xf numFmtId="172" fontId="12" fillId="0" borderId="0" xfId="4" applyNumberFormat="1" applyFont="1" applyBorder="1" applyAlignment="1" applyProtection="1">
      <alignment horizontal="right"/>
    </xf>
    <xf numFmtId="37" fontId="14" fillId="0" borderId="0" xfId="0" applyNumberFormat="1" applyFont="1"/>
    <xf numFmtId="37" fontId="13" fillId="0" borderId="0" xfId="0" applyNumberFormat="1" applyFont="1"/>
    <xf numFmtId="172" fontId="13" fillId="0" borderId="0" xfId="4" applyNumberFormat="1" applyFont="1" applyFill="1" applyBorder="1" applyAlignment="1" applyProtection="1">
      <alignment horizontal="right"/>
      <protection locked="0"/>
    </xf>
    <xf numFmtId="172" fontId="13" fillId="0" borderId="1" xfId="4" applyNumberFormat="1" applyFont="1" applyBorder="1" applyAlignment="1" applyProtection="1">
      <alignment horizontal="right"/>
    </xf>
    <xf numFmtId="37" fontId="12" fillId="0" borderId="0" xfId="4" applyNumberFormat="1" applyFont="1" applyBorder="1" applyAlignment="1" applyProtection="1">
      <alignment horizontal="right"/>
    </xf>
    <xf numFmtId="172" fontId="13" fillId="0" borderId="1" xfId="4" applyNumberFormat="1" applyFont="1" applyFill="1" applyBorder="1" applyAlignment="1" applyProtection="1">
      <alignment horizontal="right"/>
    </xf>
    <xf numFmtId="172" fontId="12" fillId="0" borderId="0" xfId="4" applyNumberFormat="1" applyFont="1" applyFill="1" applyBorder="1" applyProtection="1"/>
    <xf numFmtId="190" fontId="0" fillId="0" borderId="0" xfId="4" applyNumberFormat="1" applyFont="1" applyBorder="1" applyProtection="1"/>
    <xf numFmtId="172" fontId="13" fillId="0" borderId="1" xfId="4" applyNumberFormat="1" applyFont="1" applyFill="1" applyBorder="1" applyProtection="1">
      <protection locked="0"/>
    </xf>
    <xf numFmtId="172" fontId="13" fillId="0" borderId="1" xfId="4" applyNumberFormat="1" applyFont="1" applyFill="1" applyBorder="1" applyProtection="1"/>
    <xf numFmtId="39" fontId="12" fillId="0" borderId="0" xfId="4" applyNumberFormat="1" applyFont="1" applyBorder="1" applyProtection="1"/>
    <xf numFmtId="172" fontId="0" fillId="0" borderId="0" xfId="0" applyNumberFormat="1"/>
    <xf numFmtId="165" fontId="12" fillId="0" borderId="0" xfId="0" quotePrefix="1" applyNumberFormat="1" applyFont="1" applyAlignment="1">
      <alignment horizontal="left"/>
    </xf>
    <xf numFmtId="173" fontId="12" fillId="0" borderId="26" xfId="0" applyNumberFormat="1" applyFont="1" applyBorder="1"/>
    <xf numFmtId="165" fontId="12" fillId="0" borderId="0" xfId="0" applyNumberFormat="1" applyFont="1" applyAlignment="1">
      <alignment horizontal="left"/>
    </xf>
    <xf numFmtId="173" fontId="12" fillId="0" borderId="0" xfId="0" applyNumberFormat="1" applyFont="1"/>
    <xf numFmtId="168" fontId="0" fillId="0" borderId="0" xfId="4" applyFont="1" applyBorder="1" applyProtection="1"/>
    <xf numFmtId="0" fontId="12" fillId="0" borderId="7" xfId="0" applyFont="1" applyBorder="1"/>
    <xf numFmtId="0" fontId="25" fillId="0" borderId="8" xfId="0" applyFont="1" applyBorder="1"/>
    <xf numFmtId="170" fontId="0" fillId="0" borderId="8" xfId="4" applyNumberFormat="1" applyFont="1" applyBorder="1" applyProtection="1"/>
    <xf numFmtId="170" fontId="0" fillId="0" borderId="9" xfId="4" applyNumberFormat="1" applyFont="1" applyBorder="1" applyProtection="1"/>
    <xf numFmtId="196" fontId="20" fillId="0" borderId="0" xfId="0" applyNumberFormat="1" applyFont="1"/>
    <xf numFmtId="0" fontId="25" fillId="0" borderId="0" xfId="0" quotePrefix="1" applyFont="1"/>
    <xf numFmtId="0" fontId="25" fillId="0" borderId="1" xfId="0" quotePrefix="1" applyFont="1" applyBorder="1"/>
    <xf numFmtId="196" fontId="20" fillId="0" borderId="1" xfId="0" applyNumberFormat="1" applyFont="1" applyBorder="1"/>
    <xf numFmtId="0" fontId="39" fillId="0" borderId="8" xfId="0" quotePrefix="1" applyFont="1" applyBorder="1"/>
    <xf numFmtId="168" fontId="20" fillId="0" borderId="0" xfId="4" applyFont="1" applyBorder="1" applyProtection="1"/>
    <xf numFmtId="0" fontId="20" fillId="0" borderId="0" xfId="0" quotePrefix="1" applyFont="1" applyAlignment="1">
      <alignment horizontal="left"/>
    </xf>
    <xf numFmtId="0" fontId="0" fillId="0" borderId="0" xfId="0" applyAlignment="1">
      <alignment horizontal="right"/>
    </xf>
    <xf numFmtId="178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37" fontId="0" fillId="0" borderId="0" xfId="4" applyNumberFormat="1" applyFont="1" applyProtection="1"/>
    <xf numFmtId="172" fontId="33" fillId="0" borderId="0" xfId="4" applyNumberFormat="1" applyFont="1" applyFill="1" applyProtection="1">
      <protection locked="0"/>
    </xf>
    <xf numFmtId="172" fontId="0" fillId="0" borderId="0" xfId="4" applyNumberFormat="1" applyFont="1" applyProtection="1"/>
    <xf numFmtId="37" fontId="0" fillId="0" borderId="0" xfId="4" applyNumberFormat="1" applyFont="1" applyFill="1" applyProtection="1"/>
    <xf numFmtId="172" fontId="0" fillId="0" borderId="0" xfId="4" applyNumberFormat="1" applyFont="1" applyFill="1" applyProtection="1"/>
    <xf numFmtId="37" fontId="13" fillId="0" borderId="0" xfId="4" applyNumberFormat="1" applyFont="1" applyBorder="1" applyProtection="1"/>
    <xf numFmtId="172" fontId="33" fillId="0" borderId="1" xfId="4" applyNumberFormat="1" applyFont="1" applyFill="1" applyBorder="1" applyAlignment="1" applyProtection="1">
      <alignment horizontal="right"/>
      <protection locked="0"/>
    </xf>
    <xf numFmtId="172" fontId="13" fillId="0" borderId="1" xfId="4" applyNumberFormat="1" applyFont="1" applyFill="1" applyBorder="1" applyAlignment="1" applyProtection="1">
      <alignment horizontal="right"/>
      <protection locked="0"/>
    </xf>
    <xf numFmtId="172" fontId="12" fillId="0" borderId="0" xfId="4" applyNumberFormat="1" applyFont="1" applyProtection="1"/>
    <xf numFmtId="170" fontId="0" fillId="0" borderId="0" xfId="4" applyNumberFormat="1" applyFont="1" applyProtection="1"/>
    <xf numFmtId="170" fontId="0" fillId="0" borderId="0" xfId="4" applyNumberFormat="1" applyFont="1" applyFill="1" applyBorder="1" applyProtection="1"/>
    <xf numFmtId="37" fontId="13" fillId="0" borderId="0" xfId="4" applyNumberFormat="1" applyFont="1" applyFill="1" applyProtection="1"/>
    <xf numFmtId="172" fontId="13" fillId="0" borderId="0" xfId="4" applyNumberFormat="1" applyFont="1" applyFill="1" applyProtection="1">
      <protection locked="0"/>
    </xf>
    <xf numFmtId="172" fontId="12" fillId="0" borderId="8" xfId="4" applyNumberFormat="1" applyFont="1" applyBorder="1" applyProtection="1"/>
    <xf numFmtId="164" fontId="12" fillId="0" borderId="0" xfId="4" applyNumberFormat="1" applyFont="1" applyProtection="1"/>
    <xf numFmtId="192" fontId="12" fillId="0" borderId="0" xfId="4" applyNumberFormat="1" applyFont="1" applyProtection="1"/>
    <xf numFmtId="164" fontId="40" fillId="0" borderId="0" xfId="4" applyNumberFormat="1" applyFont="1" applyProtection="1"/>
    <xf numFmtId="37" fontId="12" fillId="0" borderId="0" xfId="4" applyNumberFormat="1" applyFont="1" applyProtection="1"/>
    <xf numFmtId="0" fontId="12" fillId="0" borderId="8" xfId="0" quotePrefix="1" applyFont="1" applyBorder="1" applyAlignment="1">
      <alignment horizontal="left"/>
    </xf>
    <xf numFmtId="37" fontId="12" fillId="0" borderId="8" xfId="4" applyNumberFormat="1" applyFont="1" applyBorder="1" applyProtection="1"/>
    <xf numFmtId="172" fontId="0" fillId="0" borderId="8" xfId="4" applyNumberFormat="1" applyFont="1" applyBorder="1" applyProtection="1"/>
    <xf numFmtId="172" fontId="41" fillId="0" borderId="0" xfId="4" applyNumberFormat="1" applyFont="1" applyBorder="1" applyProtection="1"/>
    <xf numFmtId="172" fontId="15" fillId="0" borderId="0" xfId="4" applyNumberFormat="1" applyFont="1" applyBorder="1" applyProtection="1"/>
    <xf numFmtId="0" fontId="0" fillId="0" borderId="10" xfId="0" applyBorder="1" applyAlignment="1">
      <alignment horizontal="left"/>
    </xf>
    <xf numFmtId="197" fontId="0" fillId="0" borderId="1" xfId="4" applyNumberFormat="1" applyFont="1" applyBorder="1" applyProtection="1"/>
    <xf numFmtId="0" fontId="31" fillId="0" borderId="0" xfId="0" applyFont="1" applyAlignment="1">
      <alignment horizontal="centerContinuous"/>
    </xf>
    <xf numFmtId="0" fontId="20" fillId="0" borderId="0" xfId="0" applyFont="1" applyAlignment="1">
      <alignment horizontal="left"/>
    </xf>
    <xf numFmtId="37" fontId="13" fillId="0" borderId="0" xfId="4" applyNumberFormat="1" applyFont="1" applyFill="1" applyBorder="1" applyProtection="1"/>
    <xf numFmtId="174" fontId="0" fillId="0" borderId="0" xfId="4" applyNumberFormat="1" applyFont="1" applyProtection="1"/>
    <xf numFmtId="172" fontId="33" fillId="0" borderId="0" xfId="4" applyNumberFormat="1" applyFont="1" applyFill="1" applyBorder="1" applyProtection="1">
      <protection locked="0"/>
    </xf>
    <xf numFmtId="172" fontId="13" fillId="0" borderId="0" xfId="4" applyNumberFormat="1" applyFont="1" applyFill="1" applyBorder="1" applyProtection="1">
      <protection locked="0"/>
    </xf>
    <xf numFmtId="174" fontId="42" fillId="0" borderId="0" xfId="4" applyNumberFormat="1" applyFont="1" applyBorder="1" applyProtection="1"/>
    <xf numFmtId="37" fontId="0" fillId="0" borderId="0" xfId="4" applyNumberFormat="1" applyFont="1" applyFill="1" applyBorder="1" applyProtection="1"/>
    <xf numFmtId="169" fontId="0" fillId="0" borderId="0" xfId="4" applyNumberFormat="1" applyFont="1" applyBorder="1" applyProtection="1"/>
    <xf numFmtId="169" fontId="0" fillId="0" borderId="0" xfId="4" applyNumberFormat="1" applyFont="1" applyProtection="1"/>
    <xf numFmtId="0" fontId="20" fillId="0" borderId="0" xfId="0" applyFont="1"/>
    <xf numFmtId="177" fontId="20" fillId="0" borderId="0" xfId="4" applyNumberFormat="1" applyFont="1" applyBorder="1" applyProtection="1"/>
    <xf numFmtId="177" fontId="20" fillId="0" borderId="0" xfId="4" applyNumberFormat="1" applyFont="1" applyProtection="1"/>
    <xf numFmtId="0" fontId="20" fillId="0" borderId="1" xfId="0" quotePrefix="1" applyFont="1" applyBorder="1" applyAlignment="1">
      <alignment horizontal="left"/>
    </xf>
    <xf numFmtId="177" fontId="0" fillId="0" borderId="1" xfId="0" applyNumberFormat="1" applyBorder="1"/>
    <xf numFmtId="0" fontId="12" fillId="0" borderId="1" xfId="0" applyFont="1" applyBorder="1" applyAlignment="1">
      <alignment horizontal="centerContinuous"/>
    </xf>
    <xf numFmtId="0" fontId="45" fillId="0" borderId="0" xfId="0" applyFont="1" applyAlignment="1">
      <alignment horizontal="right"/>
    </xf>
    <xf numFmtId="0" fontId="46" fillId="0" borderId="0" xfId="0" applyFont="1"/>
    <xf numFmtId="0" fontId="46" fillId="0" borderId="7" xfId="0" applyFont="1" applyBorder="1" applyAlignment="1">
      <alignment horizontal="left" vertical="center"/>
    </xf>
    <xf numFmtId="191" fontId="47" fillId="0" borderId="0" xfId="0" applyNumberFormat="1" applyFont="1"/>
    <xf numFmtId="37" fontId="46" fillId="0" borderId="0" xfId="0" applyNumberFormat="1" applyFont="1"/>
    <xf numFmtId="0" fontId="48" fillId="0" borderId="0" xfId="0" applyFont="1"/>
    <xf numFmtId="0" fontId="46" fillId="0" borderId="10" xfId="0" applyFont="1" applyBorder="1" applyAlignment="1">
      <alignment horizontal="left" vertical="center"/>
    </xf>
    <xf numFmtId="0" fontId="46" fillId="0" borderId="1" xfId="0" quotePrefix="1" applyFont="1" applyBorder="1" applyAlignment="1">
      <alignment horizontal="left" vertical="center"/>
    </xf>
    <xf numFmtId="0" fontId="46" fillId="0" borderId="1" xfId="0" applyFont="1" applyBorder="1" applyAlignment="1">
      <alignment vertical="center"/>
    </xf>
    <xf numFmtId="195" fontId="0" fillId="0" borderId="0" xfId="0" applyNumberFormat="1"/>
    <xf numFmtId="173" fontId="0" fillId="0" borderId="0" xfId="0" applyNumberFormat="1"/>
    <xf numFmtId="184" fontId="0" fillId="0" borderId="0" xfId="0" applyNumberFormat="1"/>
    <xf numFmtId="173" fontId="0" fillId="0" borderId="5" xfId="0" applyNumberFormat="1" applyBorder="1"/>
    <xf numFmtId="172" fontId="46" fillId="0" borderId="0" xfId="0" applyNumberFormat="1" applyFont="1"/>
    <xf numFmtId="0" fontId="27" fillId="0" borderId="0" xfId="0" applyFont="1" applyAlignment="1">
      <alignment vertical="center"/>
    </xf>
    <xf numFmtId="173" fontId="12" fillId="0" borderId="26" xfId="0" applyNumberFormat="1" applyFont="1" applyBorder="1" applyAlignment="1">
      <alignment vertical="center"/>
    </xf>
    <xf numFmtId="37" fontId="0" fillId="0" borderId="1" xfId="4" applyNumberFormat="1" applyFont="1" applyBorder="1" applyProtection="1"/>
    <xf numFmtId="0" fontId="49" fillId="0" borderId="0" xfId="0" applyFont="1"/>
    <xf numFmtId="0" fontId="12" fillId="0" borderId="13" xfId="0" applyFont="1" applyBorder="1"/>
    <xf numFmtId="0" fontId="0" fillId="0" borderId="14" xfId="0" applyBorder="1"/>
    <xf numFmtId="37" fontId="50" fillId="0" borderId="0" xfId="0" applyNumberFormat="1" applyFont="1"/>
    <xf numFmtId="37" fontId="27" fillId="0" borderId="0" xfId="0" applyNumberFormat="1" applyFont="1"/>
    <xf numFmtId="171" fontId="34" fillId="0" borderId="0" xfId="0" applyNumberFormat="1" applyFont="1"/>
    <xf numFmtId="37" fontId="24" fillId="0" borderId="8" xfId="0" applyNumberFormat="1" applyFont="1" applyBorder="1"/>
    <xf numFmtId="37" fontId="13" fillId="0" borderId="8" xfId="0" applyNumberFormat="1" applyFont="1" applyBorder="1"/>
    <xf numFmtId="37" fontId="13" fillId="0" borderId="9" xfId="0" applyNumberFormat="1" applyFont="1" applyBorder="1"/>
    <xf numFmtId="37" fontId="21" fillId="0" borderId="0" xfId="0" applyNumberFormat="1" applyFont="1"/>
    <xf numFmtId="0" fontId="12" fillId="0" borderId="10" xfId="0" applyFont="1" applyBorder="1"/>
    <xf numFmtId="37" fontId="43" fillId="0" borderId="1" xfId="0" applyNumberFormat="1" applyFont="1" applyBorder="1"/>
    <xf numFmtId="37" fontId="21" fillId="0" borderId="1" xfId="0" applyNumberFormat="1" applyFont="1" applyBorder="1"/>
    <xf numFmtId="37" fontId="27" fillId="0" borderId="1" xfId="0" applyNumberFormat="1" applyFont="1" applyBorder="1"/>
    <xf numFmtId="0" fontId="52" fillId="0" borderId="0" xfId="0" applyFont="1"/>
    <xf numFmtId="37" fontId="24" fillId="0" borderId="1" xfId="0" applyNumberFormat="1" applyFont="1" applyBorder="1"/>
    <xf numFmtId="37" fontId="13" fillId="0" borderId="1" xfId="0" applyNumberFormat="1" applyFont="1" applyBorder="1"/>
    <xf numFmtId="0" fontId="5" fillId="0" borderId="25" xfId="0" applyFont="1" applyBorder="1"/>
    <xf numFmtId="4" fontId="12" fillId="0" borderId="0" xfId="0" applyNumberFormat="1" applyFont="1"/>
    <xf numFmtId="4" fontId="0" fillId="0" borderId="0" xfId="4" applyNumberFormat="1" applyFont="1" applyFill="1" applyBorder="1" applyProtection="1"/>
    <xf numFmtId="4" fontId="0" fillId="0" borderId="0" xfId="0" applyNumberFormat="1"/>
    <xf numFmtId="168" fontId="46" fillId="0" borderId="0" xfId="4" applyFont="1" applyProtection="1"/>
    <xf numFmtId="184" fontId="13" fillId="0" borderId="0" xfId="4" applyNumberFormat="1" applyFont="1" applyProtection="1"/>
    <xf numFmtId="4" fontId="0" fillId="0" borderId="0" xfId="4" applyNumberFormat="1" applyFont="1" applyFill="1" applyBorder="1" applyAlignment="1" applyProtection="1">
      <alignment horizontal="left"/>
    </xf>
    <xf numFmtId="168" fontId="46" fillId="0" borderId="0" xfId="4" applyFont="1" applyFill="1" applyProtection="1"/>
    <xf numFmtId="184" fontId="13" fillId="0" borderId="0" xfId="4" applyNumberFormat="1" applyFont="1" applyFill="1" applyProtection="1"/>
    <xf numFmtId="4" fontId="12" fillId="0" borderId="0" xfId="4" applyNumberFormat="1" applyFont="1" applyFill="1" applyBorder="1" applyProtection="1"/>
    <xf numFmtId="169" fontId="0" fillId="0" borderId="1" xfId="4" applyNumberFormat="1" applyFont="1" applyBorder="1" applyProtection="1"/>
    <xf numFmtId="178" fontId="14" fillId="0" borderId="0" xfId="0" quotePrefix="1" applyNumberFormat="1" applyFont="1" applyAlignment="1">
      <alignment horizontal="right"/>
    </xf>
    <xf numFmtId="194" fontId="0" fillId="0" borderId="0" xfId="0" applyNumberFormat="1"/>
    <xf numFmtId="164" fontId="0" fillId="0" borderId="0" xfId="0" applyNumberFormat="1"/>
    <xf numFmtId="164" fontId="12" fillId="0" borderId="0" xfId="0" applyNumberFormat="1" applyFont="1"/>
    <xf numFmtId="181" fontId="58" fillId="0" borderId="0" xfId="8" applyNumberFormat="1" applyFont="1"/>
    <xf numFmtId="0" fontId="59" fillId="0" borderId="0" xfId="7" applyFont="1" applyAlignment="1">
      <alignment horizontal="centerContinuous"/>
    </xf>
    <xf numFmtId="0" fontId="44" fillId="0" borderId="0" xfId="7" applyFont="1" applyAlignment="1">
      <alignment horizontal="centerContinuous"/>
    </xf>
    <xf numFmtId="0" fontId="3" fillId="0" borderId="0" xfId="7"/>
    <xf numFmtId="0" fontId="19" fillId="0" borderId="0" xfId="7" applyFont="1" applyAlignment="1">
      <alignment horizontal="centerContinuous"/>
    </xf>
    <xf numFmtId="0" fontId="60" fillId="0" borderId="0" xfId="7" applyFont="1" applyAlignment="1">
      <alignment horizontal="centerContinuous"/>
    </xf>
    <xf numFmtId="0" fontId="12" fillId="0" borderId="0" xfId="7" applyFont="1" applyAlignment="1">
      <alignment horizontal="centerContinuous"/>
    </xf>
    <xf numFmtId="0" fontId="61" fillId="0" borderId="0" xfId="7" applyFont="1" applyAlignment="1">
      <alignment horizontal="centerContinuous"/>
    </xf>
    <xf numFmtId="0" fontId="3" fillId="0" borderId="5" xfId="7" applyBorder="1"/>
    <xf numFmtId="0" fontId="3" fillId="0" borderId="1" xfId="7" applyBorder="1"/>
    <xf numFmtId="0" fontId="3" fillId="0" borderId="6" xfId="7" applyBorder="1"/>
    <xf numFmtId="178" fontId="14" fillId="0" borderId="0" xfId="0" applyNumberFormat="1" applyFont="1"/>
    <xf numFmtId="193" fontId="14" fillId="0" borderId="0" xfId="0" quotePrefix="1" applyNumberFormat="1" applyFont="1" applyAlignment="1">
      <alignment horizontal="right"/>
    </xf>
    <xf numFmtId="0" fontId="12" fillId="0" borderId="0" xfId="7" applyFont="1"/>
    <xf numFmtId="0" fontId="5" fillId="0" borderId="0" xfId="7" applyFont="1"/>
    <xf numFmtId="164" fontId="3" fillId="0" borderId="0" xfId="4" applyNumberFormat="1" applyFont="1" applyBorder="1"/>
    <xf numFmtId="0" fontId="52" fillId="0" borderId="0" xfId="7" applyFont="1"/>
    <xf numFmtId="0" fontId="25" fillId="0" borderId="0" xfId="7" applyFont="1"/>
    <xf numFmtId="0" fontId="3" fillId="0" borderId="10" xfId="7" applyBorder="1"/>
    <xf numFmtId="0" fontId="3" fillId="0" borderId="11" xfId="7" applyBorder="1"/>
    <xf numFmtId="0" fontId="20" fillId="0" borderId="0" xfId="7" applyFont="1"/>
    <xf numFmtId="0" fontId="3" fillId="0" borderId="0" xfId="7" applyAlignment="1">
      <alignment horizontal="right"/>
    </xf>
    <xf numFmtId="0" fontId="3" fillId="0" borderId="0" xfId="7" applyAlignment="1">
      <alignment vertical="center"/>
    </xf>
    <xf numFmtId="0" fontId="3" fillId="0" borderId="7" xfId="7" applyBorder="1" applyAlignment="1">
      <alignment vertical="center"/>
    </xf>
    <xf numFmtId="0" fontId="3" fillId="0" borderId="8" xfId="7" applyBorder="1" applyAlignment="1">
      <alignment vertical="center"/>
    </xf>
    <xf numFmtId="0" fontId="31" fillId="0" borderId="14" xfId="7" applyFont="1" applyBorder="1" applyAlignment="1">
      <alignment horizontal="centerContinuous" vertical="center"/>
    </xf>
    <xf numFmtId="0" fontId="20" fillId="0" borderId="14" xfId="7" applyFont="1" applyBorder="1" applyAlignment="1">
      <alignment horizontal="centerContinuous" vertical="center"/>
    </xf>
    <xf numFmtId="0" fontId="3" fillId="0" borderId="9" xfId="7" applyBorder="1" applyAlignment="1">
      <alignment vertical="center"/>
    </xf>
    <xf numFmtId="0" fontId="3" fillId="0" borderId="5" xfId="7" applyBorder="1" applyAlignment="1">
      <alignment vertical="center"/>
    </xf>
    <xf numFmtId="0" fontId="3" fillId="0" borderId="1" xfId="7" applyBorder="1" applyAlignment="1">
      <alignment vertical="center"/>
    </xf>
    <xf numFmtId="178" fontId="12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3" fillId="0" borderId="6" xfId="7" applyBorder="1" applyAlignment="1">
      <alignment vertical="center"/>
    </xf>
    <xf numFmtId="39" fontId="13" fillId="0" borderId="0" xfId="0" applyNumberFormat="1" applyFont="1" applyAlignment="1">
      <alignment horizontal="right"/>
    </xf>
    <xf numFmtId="0" fontId="0" fillId="0" borderId="33" xfId="0" applyBorder="1" applyAlignment="1">
      <alignment horizontal="center" vertical="center"/>
    </xf>
    <xf numFmtId="0" fontId="0" fillId="0" borderId="34" xfId="0" applyBorder="1"/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left"/>
    </xf>
    <xf numFmtId="0" fontId="0" fillId="0" borderId="36" xfId="0" applyBorder="1"/>
    <xf numFmtId="0" fontId="0" fillId="0" borderId="37" xfId="0" applyBorder="1"/>
    <xf numFmtId="0" fontId="0" fillId="0" borderId="33" xfId="0" applyBorder="1"/>
    <xf numFmtId="0" fontId="0" fillId="0" borderId="35" xfId="0" applyBorder="1"/>
    <xf numFmtId="37" fontId="13" fillId="0" borderId="36" xfId="0" applyNumberFormat="1" applyFont="1" applyBorder="1" applyAlignment="1">
      <alignment horizontal="right"/>
    </xf>
    <xf numFmtId="0" fontId="0" fillId="0" borderId="33" xfId="0" quotePrefix="1" applyBorder="1" applyAlignment="1">
      <alignment horizontal="left"/>
    </xf>
    <xf numFmtId="0" fontId="14" fillId="0" borderId="33" xfId="0" applyFont="1" applyBorder="1" applyAlignment="1">
      <alignment vertical="center"/>
    </xf>
    <xf numFmtId="0" fontId="15" fillId="0" borderId="34" xfId="0" applyFont="1" applyBorder="1" applyAlignment="1">
      <alignment horizontal="centerContinuous" vertical="center"/>
    </xf>
    <xf numFmtId="0" fontId="13" fillId="0" borderId="33" xfId="0" applyFont="1" applyBorder="1"/>
    <xf numFmtId="0" fontId="0" fillId="0" borderId="34" xfId="0" applyBorder="1" applyAlignment="1">
      <alignment horizontal="centerContinuous"/>
    </xf>
    <xf numFmtId="0" fontId="13" fillId="0" borderId="35" xfId="0" applyFont="1" applyBorder="1" applyAlignment="1">
      <alignment horizontal="left"/>
    </xf>
    <xf numFmtId="0" fontId="0" fillId="0" borderId="37" xfId="0" applyBorder="1" applyAlignment="1">
      <alignment horizontal="centerContinuous"/>
    </xf>
    <xf numFmtId="0" fontId="0" fillId="0" borderId="33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4" fillId="0" borderId="33" xfId="0" applyFont="1" applyBorder="1"/>
    <xf numFmtId="0" fontId="0" fillId="0" borderId="33" xfId="0" applyBorder="1" applyAlignment="1">
      <alignment horizontal="left"/>
    </xf>
    <xf numFmtId="180" fontId="0" fillId="0" borderId="33" xfId="0" applyNumberFormat="1" applyBorder="1" applyAlignment="1">
      <alignment horizontal="left"/>
    </xf>
    <xf numFmtId="0" fontId="0" fillId="0" borderId="35" xfId="0" quotePrefix="1" applyBorder="1" applyAlignment="1">
      <alignment horizontal="left"/>
    </xf>
    <xf numFmtId="173" fontId="13" fillId="0" borderId="37" xfId="0" applyNumberFormat="1" applyFont="1" applyBorder="1" applyAlignment="1">
      <alignment horizontal="right"/>
    </xf>
    <xf numFmtId="180" fontId="0" fillId="0" borderId="36" xfId="0" quotePrefix="1" applyNumberFormat="1" applyBorder="1" applyAlignment="1">
      <alignment horizontal="left"/>
    </xf>
    <xf numFmtId="0" fontId="17" fillId="0" borderId="0" xfId="0" applyFont="1" applyAlignment="1">
      <alignment vertical="center"/>
    </xf>
    <xf numFmtId="0" fontId="12" fillId="0" borderId="33" xfId="0" applyFont="1" applyBorder="1"/>
    <xf numFmtId="0" fontId="12" fillId="0" borderId="33" xfId="0" applyFont="1" applyBorder="1" applyAlignment="1">
      <alignment horizontal="left" vertical="center"/>
    </xf>
    <xf numFmtId="175" fontId="13" fillId="0" borderId="36" xfId="0" applyNumberFormat="1" applyFont="1" applyBorder="1"/>
    <xf numFmtId="178" fontId="12" fillId="0" borderId="0" xfId="0" quotePrefix="1" applyNumberFormat="1" applyFont="1" applyAlignment="1">
      <alignment horizontal="right"/>
    </xf>
    <xf numFmtId="0" fontId="12" fillId="0" borderId="0" xfId="0" quotePrefix="1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8" xfId="0" quotePrefix="1" applyFont="1" applyBorder="1" applyAlignment="1">
      <alignment horizontal="right"/>
    </xf>
    <xf numFmtId="171" fontId="57" fillId="0" borderId="0" xfId="0" applyNumberFormat="1" applyFont="1"/>
    <xf numFmtId="0" fontId="12" fillId="0" borderId="0" xfId="8" quotePrefix="1" applyFont="1" applyAlignment="1">
      <alignment horizontal="right"/>
    </xf>
    <xf numFmtId="0" fontId="66" fillId="0" borderId="0" xfId="7" applyFont="1"/>
    <xf numFmtId="0" fontId="3" fillId="0" borderId="12" xfId="7" applyBorder="1"/>
    <xf numFmtId="0" fontId="28" fillId="0" borderId="0" xfId="7" applyFont="1"/>
    <xf numFmtId="0" fontId="19" fillId="0" borderId="12" xfId="0" applyFont="1" applyBorder="1" applyAlignment="1">
      <alignment horizontal="centerContinuous"/>
    </xf>
    <xf numFmtId="0" fontId="29" fillId="0" borderId="12" xfId="0" applyFont="1" applyBorder="1" applyAlignment="1">
      <alignment horizontal="centerContinuous"/>
    </xf>
    <xf numFmtId="0" fontId="30" fillId="0" borderId="12" xfId="0" applyFont="1" applyBorder="1" applyAlignment="1">
      <alignment horizontal="centerContinuous"/>
    </xf>
    <xf numFmtId="0" fontId="11" fillId="0" borderId="12" xfId="0" applyFont="1" applyBorder="1"/>
    <xf numFmtId="0" fontId="0" fillId="0" borderId="12" xfId="0" applyBorder="1"/>
    <xf numFmtId="0" fontId="65" fillId="3" borderId="0" xfId="7" applyFont="1" applyFill="1" applyAlignment="1">
      <alignment vertical="center"/>
    </xf>
    <xf numFmtId="0" fontId="3" fillId="3" borderId="0" xfId="7" applyFill="1" applyAlignment="1">
      <alignment vertical="center"/>
    </xf>
    <xf numFmtId="178" fontId="65" fillId="3" borderId="0" xfId="0" applyNumberFormat="1" applyFont="1" applyFill="1" applyAlignment="1">
      <alignment vertical="center"/>
    </xf>
    <xf numFmtId="0" fontId="65" fillId="3" borderId="0" xfId="0" applyFont="1" applyFill="1" applyAlignment="1">
      <alignment vertical="center"/>
    </xf>
    <xf numFmtId="0" fontId="3" fillId="3" borderId="36" xfId="7" applyFill="1" applyBorder="1" applyAlignment="1">
      <alignment vertical="center"/>
    </xf>
    <xf numFmtId="178" fontId="65" fillId="3" borderId="36" xfId="0" applyNumberFormat="1" applyFont="1" applyFill="1" applyBorder="1" applyAlignment="1">
      <alignment vertical="center"/>
    </xf>
    <xf numFmtId="0" fontId="65" fillId="3" borderId="36" xfId="0" applyFont="1" applyFill="1" applyBorder="1" applyAlignment="1">
      <alignment vertical="center"/>
    </xf>
    <xf numFmtId="0" fontId="65" fillId="3" borderId="30" xfId="0" applyFont="1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65" fillId="3" borderId="32" xfId="0" applyFont="1" applyFill="1" applyBorder="1" applyAlignment="1">
      <alignment vertical="center"/>
    </xf>
    <xf numFmtId="0" fontId="3" fillId="4" borderId="0" xfId="7" applyFill="1"/>
    <xf numFmtId="178" fontId="14" fillId="4" borderId="0" xfId="0" applyNumberFormat="1" applyFont="1" applyFill="1"/>
    <xf numFmtId="193" fontId="14" fillId="4" borderId="0" xfId="0" quotePrefix="1" applyNumberFormat="1" applyFont="1" applyFill="1" applyAlignment="1">
      <alignment horizontal="right"/>
    </xf>
    <xf numFmtId="0" fontId="14" fillId="4" borderId="0" xfId="0" applyFont="1" applyFill="1"/>
    <xf numFmtId="0" fontId="12" fillId="4" borderId="33" xfId="0" applyFont="1" applyFill="1" applyBorder="1" applyAlignment="1">
      <alignment vertical="center"/>
    </xf>
    <xf numFmtId="0" fontId="0" fillId="4" borderId="0" xfId="0" applyFill="1"/>
    <xf numFmtId="0" fontId="0" fillId="4" borderId="34" xfId="0" applyFill="1" applyBorder="1"/>
    <xf numFmtId="0" fontId="65" fillId="3" borderId="31" xfId="0" applyFont="1" applyFill="1" applyBorder="1" applyAlignment="1">
      <alignment vertical="center"/>
    </xf>
    <xf numFmtId="0" fontId="3" fillId="5" borderId="0" xfId="7" applyFill="1"/>
    <xf numFmtId="178" fontId="14" fillId="5" borderId="0" xfId="0" applyNumberFormat="1" applyFont="1" applyFill="1"/>
    <xf numFmtId="193" fontId="14" fillId="5" borderId="0" xfId="0" quotePrefix="1" applyNumberFormat="1" applyFont="1" applyFill="1" applyAlignment="1">
      <alignment horizontal="right"/>
    </xf>
    <xf numFmtId="0" fontId="14" fillId="5" borderId="0" xfId="0" applyFont="1" applyFill="1"/>
    <xf numFmtId="0" fontId="12" fillId="5" borderId="33" xfId="0" applyFont="1" applyFill="1" applyBorder="1" applyAlignment="1">
      <alignment vertical="center"/>
    </xf>
    <xf numFmtId="0" fontId="0" fillId="5" borderId="0" xfId="0" applyFill="1"/>
    <xf numFmtId="0" fontId="0" fillId="5" borderId="34" xfId="0" applyFill="1" applyBorder="1"/>
    <xf numFmtId="0" fontId="67" fillId="0" borderId="0" xfId="7" applyFont="1"/>
    <xf numFmtId="0" fontId="68" fillId="0" borderId="0" xfId="7" applyFont="1"/>
    <xf numFmtId="0" fontId="70" fillId="0" borderId="0" xfId="7" applyFont="1"/>
    <xf numFmtId="0" fontId="3" fillId="3" borderId="38" xfId="7" applyFill="1" applyBorder="1" applyAlignment="1">
      <alignment vertical="center"/>
    </xf>
    <xf numFmtId="0" fontId="3" fillId="3" borderId="39" xfId="7" applyFill="1" applyBorder="1" applyAlignment="1">
      <alignment vertical="center"/>
    </xf>
    <xf numFmtId="0" fontId="62" fillId="3" borderId="39" xfId="7" applyFont="1" applyFill="1" applyBorder="1" applyAlignment="1">
      <alignment vertical="center"/>
    </xf>
    <xf numFmtId="0" fontId="63" fillId="3" borderId="40" xfId="7" applyFont="1" applyFill="1" applyBorder="1" applyAlignment="1">
      <alignment horizontal="centerContinuous" vertical="center"/>
    </xf>
    <xf numFmtId="0" fontId="64" fillId="3" borderId="40" xfId="7" applyFont="1" applyFill="1" applyBorder="1" applyAlignment="1">
      <alignment horizontal="centerContinuous" vertical="center"/>
    </xf>
    <xf numFmtId="0" fontId="62" fillId="3" borderId="41" xfId="7" applyFont="1" applyFill="1" applyBorder="1" applyAlignment="1">
      <alignment vertical="center"/>
    </xf>
    <xf numFmtId="0" fontId="3" fillId="3" borderId="42" xfId="7" applyFill="1" applyBorder="1" applyAlignment="1">
      <alignment vertical="center"/>
    </xf>
    <xf numFmtId="0" fontId="62" fillId="3" borderId="43" xfId="7" applyFont="1" applyFill="1" applyBorder="1" applyAlignment="1">
      <alignment vertical="center"/>
    </xf>
    <xf numFmtId="0" fontId="3" fillId="4" borderId="42" xfId="7" applyFill="1" applyBorder="1"/>
    <xf numFmtId="0" fontId="14" fillId="4" borderId="43" xfId="0" applyFont="1" applyFill="1" applyBorder="1"/>
    <xf numFmtId="0" fontId="3" fillId="5" borderId="42" xfId="7" applyFill="1" applyBorder="1"/>
    <xf numFmtId="0" fontId="14" fillId="5" borderId="43" xfId="0" applyFont="1" applyFill="1" applyBorder="1"/>
    <xf numFmtId="0" fontId="3" fillId="0" borderId="42" xfId="7" applyBorder="1"/>
    <xf numFmtId="0" fontId="3" fillId="0" borderId="43" xfId="7" applyBorder="1"/>
    <xf numFmtId="164" fontId="3" fillId="0" borderId="43" xfId="4" applyNumberFormat="1" applyFont="1" applyBorder="1"/>
    <xf numFmtId="196" fontId="20" fillId="0" borderId="43" xfId="0" applyNumberFormat="1" applyFont="1" applyBorder="1"/>
    <xf numFmtId="0" fontId="3" fillId="0" borderId="44" xfId="7" applyBorder="1"/>
    <xf numFmtId="0" fontId="3" fillId="0" borderId="45" xfId="7" applyBorder="1"/>
    <xf numFmtId="0" fontId="3" fillId="0" borderId="45" xfId="7" applyBorder="1" applyAlignment="1">
      <alignment horizontal="left"/>
    </xf>
    <xf numFmtId="0" fontId="3" fillId="0" borderId="46" xfId="7" applyBorder="1"/>
    <xf numFmtId="0" fontId="3" fillId="3" borderId="41" xfId="7" applyFill="1" applyBorder="1" applyAlignment="1">
      <alignment vertical="center"/>
    </xf>
    <xf numFmtId="0" fontId="3" fillId="3" borderId="43" xfId="7" applyFill="1" applyBorder="1" applyAlignment="1">
      <alignment vertical="center"/>
    </xf>
    <xf numFmtId="0" fontId="3" fillId="3" borderId="47" xfId="7" applyFill="1" applyBorder="1" applyAlignment="1">
      <alignment vertical="center"/>
    </xf>
    <xf numFmtId="0" fontId="3" fillId="3" borderId="48" xfId="7" applyFill="1" applyBorder="1" applyAlignment="1">
      <alignment vertical="center"/>
    </xf>
    <xf numFmtId="0" fontId="68" fillId="0" borderId="49" xfId="7" applyFont="1" applyBorder="1"/>
    <xf numFmtId="0" fontId="0" fillId="0" borderId="6" xfId="0" applyBorder="1"/>
    <xf numFmtId="175" fontId="13" fillId="0" borderId="52" xfId="0" applyNumberFormat="1" applyFont="1" applyBorder="1"/>
    <xf numFmtId="173" fontId="13" fillId="0" borderId="53" xfId="0" applyNumberFormat="1" applyFont="1" applyBorder="1"/>
    <xf numFmtId="0" fontId="0" fillId="0" borderId="53" xfId="0" applyBorder="1"/>
    <xf numFmtId="0" fontId="3" fillId="0" borderId="54" xfId="8" applyFont="1" applyBorder="1"/>
    <xf numFmtId="0" fontId="5" fillId="0" borderId="0" xfId="8" applyFont="1" applyAlignment="1">
      <alignment horizontal="left"/>
    </xf>
    <xf numFmtId="0" fontId="0" fillId="0" borderId="1" xfId="0" applyBorder="1" applyAlignment="1">
      <alignment horizontal="center"/>
    </xf>
    <xf numFmtId="0" fontId="12" fillId="0" borderId="0" xfId="0" applyFont="1" applyAlignment="1">
      <alignment horizontal="center"/>
    </xf>
    <xf numFmtId="0" fontId="65" fillId="3" borderId="30" xfId="0" applyFont="1" applyFill="1" applyBorder="1" applyAlignment="1">
      <alignment horizontal="centerContinuous" vertical="center"/>
    </xf>
    <xf numFmtId="0" fontId="0" fillId="3" borderId="31" xfId="0" applyFill="1" applyBorder="1" applyAlignment="1">
      <alignment horizontal="centerContinuous"/>
    </xf>
    <xf numFmtId="0" fontId="0" fillId="3" borderId="32" xfId="0" applyFill="1" applyBorder="1" applyAlignment="1">
      <alignment horizontal="centerContinuous"/>
    </xf>
    <xf numFmtId="173" fontId="12" fillId="0" borderId="0" xfId="0" applyNumberFormat="1" applyFont="1" applyAlignment="1">
      <alignment vertical="center"/>
    </xf>
    <xf numFmtId="173" fontId="12" fillId="2" borderId="0" xfId="0" applyNumberFormat="1" applyFont="1" applyFill="1" applyAlignment="1">
      <alignment vertical="center"/>
    </xf>
    <xf numFmtId="0" fontId="46" fillId="0" borderId="0" xfId="0" applyFont="1" applyAlignment="1">
      <alignment horizontal="left" vertical="center"/>
    </xf>
    <xf numFmtId="0" fontId="46" fillId="0" borderId="0" xfId="0" quotePrefix="1" applyFont="1" applyAlignment="1">
      <alignment horizontal="left" vertical="center"/>
    </xf>
    <xf numFmtId="0" fontId="46" fillId="0" borderId="0" xfId="0" applyFont="1" applyAlignment="1">
      <alignment vertical="center"/>
    </xf>
    <xf numFmtId="184" fontId="53" fillId="2" borderId="0" xfId="0" applyNumberFormat="1" applyFont="1" applyFill="1" applyAlignment="1">
      <alignment vertical="center"/>
    </xf>
    <xf numFmtId="173" fontId="0" fillId="0" borderId="0" xfId="0" applyNumberFormat="1" applyAlignment="1">
      <alignment vertical="center"/>
    </xf>
    <xf numFmtId="0" fontId="0" fillId="0" borderId="0" xfId="0" applyAlignment="1">
      <alignment horizontal="left" indent="1"/>
    </xf>
    <xf numFmtId="196" fontId="20" fillId="0" borderId="6" xfId="0" applyNumberFormat="1" applyFont="1" applyBorder="1"/>
    <xf numFmtId="184" fontId="0" fillId="0" borderId="0" xfId="0" applyNumberFormat="1" applyAlignment="1">
      <alignment horizontal="centerContinuous"/>
    </xf>
    <xf numFmtId="0" fontId="74" fillId="0" borderId="0" xfId="0" applyFont="1"/>
    <xf numFmtId="0" fontId="75" fillId="0" borderId="0" xfId="0" applyFont="1"/>
    <xf numFmtId="174" fontId="73" fillId="0" borderId="0" xfId="4" applyNumberFormat="1" applyFont="1" applyAlignment="1" applyProtection="1">
      <alignment horizontal="centerContinuous"/>
    </xf>
    <xf numFmtId="174" fontId="12" fillId="0" borderId="0" xfId="4" applyNumberFormat="1" applyFont="1" applyAlignment="1" applyProtection="1">
      <alignment horizontal="centerContinuous"/>
    </xf>
    <xf numFmtId="37" fontId="5" fillId="0" borderId="0" xfId="4" applyNumberFormat="1" applyFont="1" applyBorder="1" applyProtection="1"/>
    <xf numFmtId="37" fontId="74" fillId="0" borderId="0" xfId="4" applyNumberFormat="1" applyFont="1" applyBorder="1" applyProtection="1"/>
    <xf numFmtId="0" fontId="0" fillId="3" borderId="31" xfId="0" applyFill="1" applyBorder="1" applyAlignment="1">
      <alignment horizontal="centerContinuous" vertical="center"/>
    </xf>
    <xf numFmtId="0" fontId="0" fillId="3" borderId="32" xfId="0" applyFill="1" applyBorder="1" applyAlignment="1">
      <alignment horizontal="centerContinuous" vertical="center"/>
    </xf>
    <xf numFmtId="0" fontId="13" fillId="0" borderId="34" xfId="0" applyFont="1" applyBorder="1" applyAlignment="1">
      <alignment horizontal="center"/>
    </xf>
    <xf numFmtId="0" fontId="76" fillId="6" borderId="0" xfId="0" applyFont="1" applyFill="1" applyAlignment="1">
      <alignment horizontal="centerContinuous"/>
    </xf>
    <xf numFmtId="0" fontId="72" fillId="6" borderId="0" xfId="0" applyFont="1" applyFill="1" applyAlignment="1">
      <alignment horizontal="centerContinuous"/>
    </xf>
    <xf numFmtId="0" fontId="78" fillId="7" borderId="0" xfId="0" applyFont="1" applyFill="1" applyAlignment="1">
      <alignment horizontal="centerContinuous" vertical="center"/>
    </xf>
    <xf numFmtId="0" fontId="62" fillId="7" borderId="0" xfId="0" applyFont="1" applyFill="1" applyAlignment="1">
      <alignment horizontal="centerContinuous" vertical="center"/>
    </xf>
    <xf numFmtId="0" fontId="77" fillId="7" borderId="0" xfId="0" applyFont="1" applyFill="1" applyAlignment="1">
      <alignment horizontal="centerContinuous" vertical="center"/>
    </xf>
    <xf numFmtId="0" fontId="77" fillId="7" borderId="0" xfId="7" applyFont="1" applyFill="1" applyAlignment="1">
      <alignment horizontal="centerContinuous" vertical="center"/>
    </xf>
    <xf numFmtId="0" fontId="79" fillId="7" borderId="0" xfId="7" applyFont="1" applyFill="1" applyAlignment="1">
      <alignment horizontal="centerContinuous" vertical="center"/>
    </xf>
    <xf numFmtId="172" fontId="0" fillId="0" borderId="1" xfId="0" applyNumberFormat="1" applyBorder="1"/>
    <xf numFmtId="173" fontId="0" fillId="0" borderId="1" xfId="0" applyNumberFormat="1" applyBorder="1"/>
    <xf numFmtId="198" fontId="0" fillId="0" borderId="1" xfId="0" applyNumberFormat="1" applyBorder="1"/>
    <xf numFmtId="198" fontId="12" fillId="0" borderId="1" xfId="0" applyNumberFormat="1" applyFont="1" applyBorder="1"/>
    <xf numFmtId="0" fontId="25" fillId="0" borderId="14" xfId="0" applyFont="1" applyBorder="1"/>
    <xf numFmtId="0" fontId="0" fillId="0" borderId="5" xfId="0" applyBorder="1" applyAlignment="1">
      <alignment horizontal="left" indent="1"/>
    </xf>
    <xf numFmtId="0" fontId="0" fillId="0" borderId="10" xfId="0" applyBorder="1" applyAlignment="1">
      <alignment horizontal="left" indent="1"/>
    </xf>
    <xf numFmtId="0" fontId="0" fillId="0" borderId="7" xfId="0" applyBorder="1" applyAlignment="1">
      <alignment horizontal="left" indent="1"/>
    </xf>
    <xf numFmtId="199" fontId="0" fillId="0" borderId="9" xfId="0" applyNumberFormat="1" applyBorder="1"/>
    <xf numFmtId="10" fontId="0" fillId="0" borderId="11" xfId="0" applyNumberFormat="1" applyBorder="1"/>
    <xf numFmtId="168" fontId="0" fillId="0" borderId="0" xfId="4" applyFont="1" applyBorder="1"/>
    <xf numFmtId="198" fontId="12" fillId="0" borderId="14" xfId="0" applyNumberFormat="1" applyFont="1" applyBorder="1"/>
    <xf numFmtId="198" fontId="0" fillId="0" borderId="8" xfId="0" applyNumberFormat="1" applyBorder="1"/>
    <xf numFmtId="9" fontId="0" fillId="0" borderId="9" xfId="13" applyFont="1" applyBorder="1" applyAlignment="1">
      <alignment horizontal="center"/>
    </xf>
    <xf numFmtId="9" fontId="0" fillId="0" borderId="11" xfId="13" applyFont="1" applyBorder="1" applyAlignment="1">
      <alignment horizontal="center"/>
    </xf>
    <xf numFmtId="198" fontId="0" fillId="0" borderId="9" xfId="0" applyNumberFormat="1" applyBorder="1"/>
    <xf numFmtId="198" fontId="0" fillId="0" borderId="11" xfId="0" applyNumberFormat="1" applyBorder="1"/>
    <xf numFmtId="0" fontId="49" fillId="0" borderId="0" xfId="0" applyFont="1" applyAlignment="1">
      <alignment horizontal="centerContinuous"/>
    </xf>
    <xf numFmtId="184" fontId="0" fillId="0" borderId="0" xfId="0" applyNumberFormat="1" applyAlignment="1">
      <alignment horizontal="center"/>
    </xf>
    <xf numFmtId="198" fontId="0" fillId="0" borderId="0" xfId="0" applyNumberFormat="1"/>
    <xf numFmtId="198" fontId="12" fillId="0" borderId="0" xfId="0" applyNumberFormat="1" applyFont="1"/>
    <xf numFmtId="0" fontId="28" fillId="9" borderId="0" xfId="7" quotePrefix="1" applyFont="1" applyFill="1" applyAlignment="1">
      <alignment horizontal="right" vertical="center"/>
    </xf>
    <xf numFmtId="0" fontId="84" fillId="10" borderId="0" xfId="0" applyFont="1" applyFill="1" applyAlignment="1">
      <alignment horizontal="centerContinuous"/>
    </xf>
    <xf numFmtId="0" fontId="84" fillId="10" borderId="0" xfId="0" applyFont="1" applyFill="1"/>
    <xf numFmtId="9" fontId="83" fillId="0" borderId="0" xfId="13" applyFont="1" applyBorder="1" applyAlignment="1">
      <alignment horizontal="center" vertical="center"/>
    </xf>
    <xf numFmtId="164" fontId="68" fillId="0" borderId="0" xfId="4" applyNumberFormat="1" applyFont="1" applyFill="1" applyBorder="1"/>
    <xf numFmtId="164" fontId="3" fillId="0" borderId="0" xfId="4" applyNumberFormat="1" applyFont="1" applyFill="1" applyBorder="1"/>
    <xf numFmtId="196" fontId="69" fillId="0" borderId="0" xfId="0" applyNumberFormat="1" applyFont="1"/>
    <xf numFmtId="196" fontId="52" fillId="0" borderId="0" xfId="0" applyNumberFormat="1" applyFont="1"/>
    <xf numFmtId="0" fontId="13" fillId="0" borderId="50" xfId="0" applyFont="1" applyBorder="1" applyAlignment="1">
      <alignment horizontal="center"/>
    </xf>
    <xf numFmtId="166" fontId="13" fillId="0" borderId="51" xfId="0" applyNumberFormat="1" applyFont="1" applyBorder="1" applyAlignment="1">
      <alignment horizontal="center"/>
    </xf>
    <xf numFmtId="39" fontId="13" fillId="0" borderId="34" xfId="0" applyNumberFormat="1" applyFont="1" applyBorder="1" applyAlignment="1">
      <alignment horizontal="center"/>
    </xf>
    <xf numFmtId="171" fontId="13" fillId="0" borderId="37" xfId="0" quotePrefix="1" applyNumberFormat="1" applyFont="1" applyBorder="1" applyAlignment="1">
      <alignment horizontal="center"/>
    </xf>
    <xf numFmtId="37" fontId="13" fillId="0" borderId="34" xfId="0" applyNumberFormat="1" applyFont="1" applyBorder="1" applyAlignment="1">
      <alignment horizontal="center"/>
    </xf>
    <xf numFmtId="187" fontId="13" fillId="0" borderId="0" xfId="0" quotePrefix="1" applyNumberFormat="1" applyFont="1" applyAlignment="1">
      <alignment horizontal="centerContinuous"/>
    </xf>
    <xf numFmtId="187" fontId="13" fillId="0" borderId="36" xfId="0" quotePrefix="1" applyNumberFormat="1" applyFont="1" applyBorder="1" applyAlignment="1">
      <alignment horizontal="centerContinuous"/>
    </xf>
    <xf numFmtId="188" fontId="13" fillId="0" borderId="0" xfId="0" applyNumberFormat="1" applyFont="1"/>
    <xf numFmtId="171" fontId="13" fillId="0" borderId="34" xfId="0" applyNumberFormat="1" applyFont="1" applyBorder="1" applyAlignment="1">
      <alignment horizontal="center"/>
    </xf>
    <xf numFmtId="188" fontId="13" fillId="0" borderId="36" xfId="0" applyNumberFormat="1" applyFont="1" applyBorder="1"/>
    <xf numFmtId="189" fontId="13" fillId="0" borderId="34" xfId="0" applyNumberFormat="1" applyFont="1" applyBorder="1" applyAlignment="1">
      <alignment horizontal="center"/>
    </xf>
    <xf numFmtId="171" fontId="13" fillId="0" borderId="34" xfId="0" quotePrefix="1" applyNumberFormat="1" applyFont="1" applyBorder="1" applyAlignment="1">
      <alignment horizontal="right"/>
    </xf>
    <xf numFmtId="189" fontId="13" fillId="0" borderId="37" xfId="0" applyNumberFormat="1" applyFont="1" applyBorder="1" applyAlignment="1">
      <alignment horizontal="center"/>
    </xf>
    <xf numFmtId="173" fontId="71" fillId="0" borderId="0" xfId="0" applyNumberFormat="1" applyFont="1"/>
    <xf numFmtId="173" fontId="71" fillId="0" borderId="53" xfId="0" applyNumberFormat="1" applyFont="1" applyBorder="1"/>
    <xf numFmtId="175" fontId="13" fillId="0" borderId="0" xfId="0" applyNumberFormat="1" applyFont="1"/>
    <xf numFmtId="175" fontId="13" fillId="0" borderId="53" xfId="0" applyNumberFormat="1" applyFont="1" applyBorder="1"/>
    <xf numFmtId="175" fontId="13" fillId="0" borderId="6" xfId="0" applyNumberFormat="1" applyFont="1" applyBorder="1"/>
    <xf numFmtId="171" fontId="12" fillId="0" borderId="13" xfId="0" applyNumberFormat="1" applyFont="1" applyBorder="1" applyAlignment="1">
      <alignment vertical="center"/>
    </xf>
    <xf numFmtId="171" fontId="12" fillId="0" borderId="14" xfId="0" applyNumberFormat="1" applyFont="1" applyBorder="1" applyAlignment="1">
      <alignment vertical="center"/>
    </xf>
    <xf numFmtId="175" fontId="27" fillId="0" borderId="13" xfId="0" applyNumberFormat="1" applyFont="1" applyBorder="1" applyAlignment="1">
      <alignment vertical="center"/>
    </xf>
    <xf numFmtId="175" fontId="27" fillId="0" borderId="14" xfId="0" applyNumberFormat="1" applyFont="1" applyBorder="1" applyAlignment="1">
      <alignment vertical="center"/>
    </xf>
    <xf numFmtId="175" fontId="27" fillId="0" borderId="15" xfId="0" applyNumberFormat="1" applyFont="1" applyBorder="1" applyAlignment="1">
      <alignment vertical="center"/>
    </xf>
    <xf numFmtId="175" fontId="24" fillId="0" borderId="16" xfId="4" applyNumberFormat="1" applyFont="1" applyFill="1" applyBorder="1" applyProtection="1"/>
    <xf numFmtId="175" fontId="24" fillId="0" borderId="17" xfId="4" applyNumberFormat="1" applyFont="1" applyFill="1" applyBorder="1" applyProtection="1"/>
    <xf numFmtId="175" fontId="24" fillId="0" borderId="18" xfId="0" applyNumberFormat="1" applyFont="1" applyBorder="1"/>
    <xf numFmtId="0" fontId="0" fillId="0" borderId="0" xfId="8" applyFont="1" applyAlignment="1">
      <alignment horizontal="left"/>
    </xf>
    <xf numFmtId="175" fontId="25" fillId="0" borderId="0" xfId="4" applyNumberFormat="1" applyFont="1" applyFill="1" applyBorder="1" applyProtection="1"/>
    <xf numFmtId="175" fontId="25" fillId="0" borderId="20" xfId="4" applyNumberFormat="1" applyFont="1" applyFill="1" applyBorder="1" applyProtection="1"/>
    <xf numFmtId="175" fontId="25" fillId="0" borderId="21" xfId="4" applyNumberFormat="1" applyFont="1" applyFill="1" applyBorder="1" applyProtection="1"/>
    <xf numFmtId="175" fontId="25" fillId="0" borderId="22" xfId="4" applyNumberFormat="1" applyFont="1" applyFill="1" applyBorder="1" applyProtection="1"/>
    <xf numFmtId="175" fontId="25" fillId="0" borderId="23" xfId="4" applyNumberFormat="1" applyFont="1" applyFill="1" applyBorder="1" applyProtection="1"/>
    <xf numFmtId="171" fontId="12" fillId="0" borderId="15" xfId="0" applyNumberFormat="1" applyFont="1" applyBorder="1" applyAlignment="1">
      <alignment vertical="center"/>
    </xf>
    <xf numFmtId="169" fontId="53" fillId="0" borderId="0" xfId="4" applyNumberFormat="1" applyFont="1" applyFill="1" applyProtection="1"/>
    <xf numFmtId="171" fontId="56" fillId="0" borderId="0" xfId="0" applyNumberFormat="1" applyFont="1"/>
    <xf numFmtId="169" fontId="0" fillId="0" borderId="1" xfId="4" applyNumberFormat="1" applyFont="1" applyFill="1" applyBorder="1" applyProtection="1"/>
    <xf numFmtId="171" fontId="56" fillId="0" borderId="1" xfId="0" applyNumberFormat="1" applyFont="1" applyBorder="1"/>
    <xf numFmtId="172" fontId="53" fillId="0" borderId="0" xfId="4" applyNumberFormat="1" applyFont="1" applyFill="1" applyBorder="1" applyProtection="1"/>
    <xf numFmtId="172" fontId="0" fillId="0" borderId="0" xfId="4" applyNumberFormat="1" applyFont="1" applyFill="1" applyBorder="1" applyProtection="1"/>
    <xf numFmtId="172" fontId="53" fillId="0" borderId="1" xfId="4" applyNumberFormat="1" applyFont="1" applyFill="1" applyBorder="1" applyProtection="1"/>
    <xf numFmtId="172" fontId="0" fillId="0" borderId="1" xfId="4" applyNumberFormat="1" applyFont="1" applyFill="1" applyBorder="1" applyProtection="1"/>
    <xf numFmtId="173" fontId="12" fillId="0" borderId="26" xfId="4" applyNumberFormat="1" applyFont="1" applyFill="1" applyBorder="1" applyProtection="1"/>
    <xf numFmtId="172" fontId="0" fillId="0" borderId="25" xfId="4" applyNumberFormat="1" applyFont="1" applyFill="1" applyBorder="1" applyAlignment="1" applyProtection="1">
      <alignment horizontal="right"/>
    </xf>
    <xf numFmtId="172" fontId="0" fillId="0" borderId="0" xfId="4" applyNumberFormat="1" applyFont="1" applyFill="1" applyBorder="1" applyAlignment="1" applyProtection="1">
      <alignment horizontal="right"/>
    </xf>
    <xf numFmtId="172" fontId="0" fillId="0" borderId="1" xfId="4" applyNumberFormat="1" applyFont="1" applyFill="1" applyBorder="1" applyAlignment="1" applyProtection="1">
      <alignment horizontal="right"/>
    </xf>
    <xf numFmtId="172" fontId="12" fillId="0" borderId="0" xfId="4" applyNumberFormat="1" applyFont="1" applyFill="1" applyBorder="1" applyAlignment="1" applyProtection="1">
      <alignment horizontal="right"/>
    </xf>
    <xf numFmtId="172" fontId="53" fillId="0" borderId="1" xfId="4" applyNumberFormat="1" applyFont="1" applyFill="1" applyBorder="1" applyAlignment="1" applyProtection="1">
      <alignment horizontal="right"/>
    </xf>
    <xf numFmtId="172" fontId="12" fillId="0" borderId="0" xfId="4" applyNumberFormat="1" applyFont="1" applyFill="1" applyProtection="1"/>
    <xf numFmtId="172" fontId="12" fillId="0" borderId="8" xfId="4" applyNumberFormat="1" applyFont="1" applyFill="1" applyBorder="1" applyProtection="1"/>
    <xf numFmtId="172" fontId="0" fillId="0" borderId="8" xfId="4" applyNumberFormat="1" applyFont="1" applyFill="1" applyBorder="1" applyProtection="1"/>
    <xf numFmtId="172" fontId="15" fillId="0" borderId="0" xfId="4" applyNumberFormat="1" applyFont="1" applyFill="1" applyBorder="1" applyProtection="1"/>
    <xf numFmtId="197" fontId="0" fillId="0" borderId="1" xfId="4" applyNumberFormat="1" applyFont="1" applyFill="1" applyBorder="1" applyProtection="1"/>
    <xf numFmtId="197" fontId="0" fillId="0" borderId="0" xfId="4" applyNumberFormat="1" applyFont="1" applyFill="1" applyBorder="1" applyProtection="1"/>
    <xf numFmtId="184" fontId="53" fillId="0" borderId="9" xfId="0" applyNumberFormat="1" applyFont="1" applyBorder="1" applyAlignment="1">
      <alignment vertical="center"/>
    </xf>
    <xf numFmtId="184" fontId="53" fillId="0" borderId="11" xfId="0" applyNumberFormat="1" applyFont="1" applyBorder="1" applyAlignment="1">
      <alignment vertical="center"/>
    </xf>
    <xf numFmtId="173" fontId="0" fillId="0" borderId="27" xfId="0" applyNumberFormat="1" applyBorder="1"/>
    <xf numFmtId="173" fontId="0" fillId="0" borderId="28" xfId="0" applyNumberFormat="1" applyBorder="1"/>
    <xf numFmtId="173" fontId="0" fillId="0" borderId="29" xfId="0" applyNumberFormat="1" applyBorder="1"/>
    <xf numFmtId="171" fontId="57" fillId="0" borderId="15" xfId="0" applyNumberFormat="1" applyFont="1" applyBorder="1"/>
    <xf numFmtId="173" fontId="27" fillId="0" borderId="0" xfId="0" applyNumberFormat="1" applyFont="1"/>
    <xf numFmtId="175" fontId="53" fillId="0" borderId="1" xfId="4" applyNumberFormat="1" applyFont="1" applyFill="1" applyBorder="1" applyProtection="1"/>
    <xf numFmtId="172" fontId="46" fillId="0" borderId="1" xfId="0" applyNumberFormat="1" applyFont="1" applyBorder="1"/>
    <xf numFmtId="172" fontId="27" fillId="0" borderId="1" xfId="0" applyNumberFormat="1" applyFont="1" applyBorder="1"/>
    <xf numFmtId="172" fontId="27" fillId="0" borderId="11" xfId="0" applyNumberFormat="1" applyFont="1" applyBorder="1"/>
    <xf numFmtId="184" fontId="0" fillId="0" borderId="25" xfId="0" applyNumberFormat="1" applyBorder="1"/>
    <xf numFmtId="175" fontId="0" fillId="0" borderId="6" xfId="4" applyNumberFormat="1" applyFont="1" applyFill="1" applyBorder="1" applyProtection="1"/>
    <xf numFmtId="175" fontId="53" fillId="0" borderId="0" xfId="4" applyNumberFormat="1" applyFont="1" applyFill="1" applyProtection="1"/>
    <xf numFmtId="175" fontId="0" fillId="0" borderId="1" xfId="4" applyNumberFormat="1" applyFont="1" applyFill="1" applyBorder="1" applyProtection="1"/>
    <xf numFmtId="175" fontId="0" fillId="0" borderId="11" xfId="4" applyNumberFormat="1" applyFont="1" applyFill="1" applyBorder="1" applyProtection="1"/>
    <xf numFmtId="175" fontId="0" fillId="0" borderId="10" xfId="4" applyNumberFormat="1" applyFont="1" applyFill="1" applyBorder="1" applyProtection="1"/>
    <xf numFmtId="175" fontId="12" fillId="0" borderId="0" xfId="0" applyNumberFormat="1" applyFont="1"/>
    <xf numFmtId="185" fontId="53" fillId="0" borderId="1" xfId="0" applyNumberFormat="1" applyFont="1" applyBorder="1"/>
    <xf numFmtId="173" fontId="12" fillId="0" borderId="14" xfId="0" applyNumberFormat="1" applyFont="1" applyBorder="1"/>
    <xf numFmtId="185" fontId="53" fillId="0" borderId="0" xfId="0" applyNumberFormat="1" applyFont="1"/>
    <xf numFmtId="172" fontId="53" fillId="0" borderId="1" xfId="0" applyNumberFormat="1" applyFont="1" applyBorder="1"/>
    <xf numFmtId="200" fontId="14" fillId="0" borderId="0" xfId="0" quotePrefix="1" applyNumberFormat="1" applyFont="1" applyAlignment="1">
      <alignment horizontal="center"/>
    </xf>
    <xf numFmtId="200" fontId="12" fillId="0" borderId="0" xfId="0" quotePrefix="1" applyNumberFormat="1" applyFont="1" applyAlignment="1">
      <alignment horizontal="center"/>
    </xf>
    <xf numFmtId="0" fontId="87" fillId="0" borderId="55" xfId="0" applyFont="1" applyBorder="1"/>
    <xf numFmtId="0" fontId="88" fillId="0" borderId="55" xfId="0" applyFont="1" applyBorder="1"/>
    <xf numFmtId="198" fontId="89" fillId="0" borderId="55" xfId="0" applyNumberFormat="1" applyFont="1" applyBorder="1"/>
    <xf numFmtId="196" fontId="83" fillId="0" borderId="0" xfId="0" applyNumberFormat="1" applyFont="1"/>
    <xf numFmtId="190" fontId="87" fillId="0" borderId="55" xfId="0" applyNumberFormat="1" applyFont="1" applyBorder="1"/>
    <xf numFmtId="201" fontId="83" fillId="0" borderId="0" xfId="0" applyNumberFormat="1" applyFont="1"/>
    <xf numFmtId="0" fontId="87" fillId="0" borderId="1" xfId="0" applyFont="1" applyBorder="1"/>
    <xf numFmtId="0" fontId="88" fillId="0" borderId="1" xfId="0" applyFont="1" applyBorder="1"/>
    <xf numFmtId="201" fontId="83" fillId="0" borderId="0" xfId="0" applyNumberFormat="1" applyFont="1" applyAlignment="1">
      <alignment horizontal="centerContinuous"/>
    </xf>
    <xf numFmtId="201" fontId="90" fillId="0" borderId="0" xfId="0" applyNumberFormat="1" applyFont="1" applyAlignment="1">
      <alignment horizontal="right" vertical="center"/>
    </xf>
    <xf numFmtId="39" fontId="62" fillId="0" borderId="0" xfId="0" applyNumberFormat="1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3" fillId="0" borderId="0" xfId="0" applyFont="1" applyAlignment="1">
      <alignment horizontal="center"/>
    </xf>
    <xf numFmtId="172" fontId="83" fillId="0" borderId="7" xfId="0" applyNumberFormat="1" applyFont="1" applyBorder="1" applyAlignment="1">
      <alignment horizontal="center" vertical="center"/>
    </xf>
    <xf numFmtId="172" fontId="83" fillId="0" borderId="8" xfId="0" applyNumberFormat="1" applyFont="1" applyBorder="1" applyAlignment="1">
      <alignment horizontal="center" vertical="center"/>
    </xf>
    <xf numFmtId="172" fontId="83" fillId="0" borderId="8" xfId="0" applyNumberFormat="1" applyFont="1" applyBorder="1" applyAlignment="1">
      <alignment horizontal="center"/>
    </xf>
    <xf numFmtId="172" fontId="83" fillId="0" borderId="5" xfId="0" applyNumberFormat="1" applyFont="1" applyBorder="1" applyAlignment="1">
      <alignment horizontal="center" vertical="center"/>
    </xf>
    <xf numFmtId="172" fontId="83" fillId="0" borderId="0" xfId="0" applyNumberFormat="1" applyFont="1" applyAlignment="1">
      <alignment horizontal="center" vertical="center"/>
    </xf>
    <xf numFmtId="172" fontId="83" fillId="0" borderId="0" xfId="0" applyNumberFormat="1" applyFont="1" applyAlignment="1">
      <alignment horizontal="center"/>
    </xf>
    <xf numFmtId="172" fontId="83" fillId="11" borderId="0" xfId="0" applyNumberFormat="1" applyFont="1" applyFill="1" applyAlignment="1">
      <alignment horizontal="center" vertical="center"/>
    </xf>
    <xf numFmtId="172" fontId="83" fillId="0" borderId="5" xfId="0" applyNumberFormat="1" applyFont="1" applyBorder="1" applyAlignment="1">
      <alignment horizontal="center"/>
    </xf>
    <xf numFmtId="0" fontId="87" fillId="0" borderId="0" xfId="0" applyFont="1" applyAlignment="1">
      <alignment horizontal="left" indent="1"/>
    </xf>
    <xf numFmtId="0" fontId="85" fillId="0" borderId="0" xfId="0" applyFont="1" applyAlignment="1">
      <alignment horizontal="left" indent="1"/>
    </xf>
    <xf numFmtId="0" fontId="80" fillId="0" borderId="0" xfId="14" applyAlignment="1">
      <alignment horizontal="left" indent="1"/>
    </xf>
    <xf numFmtId="186" fontId="8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12" fillId="0" borderId="0" xfId="8" applyFont="1" applyAlignment="1">
      <alignment horizontal="centerContinuous"/>
    </xf>
    <xf numFmtId="171" fontId="12" fillId="0" borderId="0" xfId="0" applyNumberFormat="1" applyFont="1" applyAlignment="1">
      <alignment vertical="center"/>
    </xf>
    <xf numFmtId="175" fontId="27" fillId="0" borderId="0" xfId="0" applyNumberFormat="1" applyFont="1" applyAlignment="1">
      <alignment vertical="center"/>
    </xf>
    <xf numFmtId="175" fontId="24" fillId="0" borderId="0" xfId="0" applyNumberFormat="1" applyFont="1"/>
    <xf numFmtId="198" fontId="0" fillId="8" borderId="11" xfId="0" applyNumberFormat="1" applyFill="1" applyBorder="1"/>
    <xf numFmtId="198" fontId="0" fillId="0" borderId="6" xfId="0" applyNumberFormat="1" applyBorder="1"/>
    <xf numFmtId="172" fontId="46" fillId="0" borderId="6" xfId="0" applyNumberFormat="1" applyFont="1" applyBorder="1"/>
    <xf numFmtId="172" fontId="46" fillId="0" borderId="11" xfId="0" applyNumberFormat="1" applyFont="1" applyBorder="1"/>
    <xf numFmtId="172" fontId="0" fillId="0" borderId="9" xfId="4" applyNumberFormat="1" applyFont="1" applyFill="1" applyBorder="1" applyProtection="1"/>
    <xf numFmtId="172" fontId="15" fillId="0" borderId="6" xfId="4" applyNumberFormat="1" applyFont="1" applyFill="1" applyBorder="1" applyProtection="1"/>
    <xf numFmtId="197" fontId="0" fillId="0" borderId="11" xfId="4" applyNumberFormat="1" applyFont="1" applyFill="1" applyBorder="1" applyProtection="1"/>
    <xf numFmtId="196" fontId="0" fillId="0" borderId="11" xfId="0" applyNumberFormat="1" applyBorder="1"/>
    <xf numFmtId="187" fontId="13" fillId="0" borderId="1" xfId="0" quotePrefix="1" applyNumberFormat="1" applyFont="1" applyBorder="1" applyAlignment="1">
      <alignment horizontal="centerContinuous"/>
    </xf>
    <xf numFmtId="4" fontId="93" fillId="0" borderId="0" xfId="0" applyNumberFormat="1" applyFont="1" applyAlignment="1">
      <alignment horizontal="left" vertical="center"/>
    </xf>
    <xf numFmtId="4" fontId="0" fillId="0" borderId="0" xfId="0" applyNumberFormat="1" applyAlignment="1">
      <alignment horizontal="left" vertical="center"/>
    </xf>
    <xf numFmtId="196" fontId="0" fillId="0" borderId="0" xfId="0" applyNumberFormat="1" applyAlignment="1">
      <alignment horizontal="left" vertical="center"/>
    </xf>
    <xf numFmtId="0" fontId="8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5" fillId="12" borderId="0" xfId="0" applyFont="1" applyFill="1" applyAlignment="1">
      <alignment horizontal="center" vertical="center"/>
    </xf>
    <xf numFmtId="0" fontId="96" fillId="12" borderId="0" xfId="0" applyFont="1" applyFill="1" applyAlignment="1">
      <alignment horizontal="center" vertical="center"/>
    </xf>
    <xf numFmtId="0" fontId="9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1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92" fillId="9" borderId="0" xfId="0" applyFont="1" applyFill="1" applyAlignment="1">
      <alignment vertical="center"/>
    </xf>
    <xf numFmtId="0" fontId="84" fillId="10" borderId="0" xfId="0" applyFont="1" applyFill="1" applyAlignment="1">
      <alignment horizontal="center" vertical="center" wrapText="1"/>
    </xf>
    <xf numFmtId="0" fontId="3" fillId="0" borderId="0" xfId="7" applyBorder="1"/>
  </cellXfs>
  <cellStyles count="15">
    <cellStyle name="Across" xfId="1" xr:uid="{00000000-0005-0000-0000-000000000000}"/>
    <cellStyle name="Bottom" xfId="2" xr:uid="{00000000-0005-0000-0000-000001000000}"/>
    <cellStyle name="Center" xfId="3" xr:uid="{00000000-0005-0000-0000-000002000000}"/>
    <cellStyle name="Comma" xfId="4" builtinId="3"/>
    <cellStyle name="Currency [2]" xfId="5" xr:uid="{00000000-0005-0000-0000-000004000000}"/>
    <cellStyle name="Double" xfId="6" xr:uid="{00000000-0005-0000-0000-000005000000}"/>
    <cellStyle name="Hyperlink" xfId="14" builtinId="8"/>
    <cellStyle name="Normal" xfId="0" builtinId="0"/>
    <cellStyle name="Normal 2" xfId="12" xr:uid="{00000000-0005-0000-0000-000007000000}"/>
    <cellStyle name="Normal_DrydenNewDCF3" xfId="7" xr:uid="{00000000-0005-0000-0000-000008000000}"/>
    <cellStyle name="Normal_TrainingDCF1" xfId="8" xr:uid="{00000000-0005-0000-0000-00000A000000}"/>
    <cellStyle name="Numbers" xfId="9" xr:uid="{00000000-0005-0000-0000-00000B000000}"/>
    <cellStyle name="Numbers - Bold - Italic" xfId="10" xr:uid="{00000000-0005-0000-0000-00000C000000}"/>
    <cellStyle name="Outline" xfId="11" xr:uid="{00000000-0005-0000-0000-00000D000000}"/>
    <cellStyle name="Percent" xfId="13" builtinId="5"/>
  </cellStyles>
  <dxfs count="3">
    <dxf>
      <fill>
        <patternFill>
          <bgColor theme="3" tint="0.79998168889431442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</dxfs>
  <tableStyles count="0" defaultTableStyle="TableStyleMedium9" defaultPivotStyle="PivotStyleLight16"/>
  <colors>
    <mruColors>
      <color rgb="FF008ED6"/>
      <color rgb="FF5B77CC"/>
      <color rgb="FF002F6C"/>
      <color rgb="FFFFFF99"/>
      <color rgb="FF009966"/>
      <color rgb="FF6B72A9"/>
      <color rgb="FF6B729F"/>
      <color rgb="FF4586BB"/>
      <color rgb="FF827F81"/>
      <color rgb="FF009B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Drop" dropStyle="combo" dx="26" fmlaLink="$E$6" fmlaRange="$D$14:$D$16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1266825</xdr:colOff>
          <xdr:row>4</xdr:row>
          <xdr:rowOff>66675</xdr:rowOff>
        </xdr:from>
        <xdr:to>
          <xdr:col>5</xdr:col>
          <xdr:colOff>0</xdr:colOff>
          <xdr:row>6</xdr:row>
          <xdr:rowOff>0</xdr:rowOff>
        </xdr:to>
        <xdr:sp macro="" textlink="">
          <xdr:nvSpPr>
            <xdr:cNvPr id="12289" name="Drop Down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3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F470200-2DB0-4888-B93B-236147580A5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b3605e1-e394-4a68-98a4-b3c52413aa6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E253A-4DDC-49D4-8F8C-B43832E8066D}">
  <sheetPr>
    <pageSetUpPr fitToPage="1"/>
  </sheetPr>
  <dimension ref="B1:G29"/>
  <sheetViews>
    <sheetView showGridLines="0" workbookViewId="0">
      <selection activeCell="L14" sqref="L14"/>
    </sheetView>
  </sheetViews>
  <sheetFormatPr defaultRowHeight="12.75"/>
  <cols>
    <col min="1" max="1" width="2.7109375" customWidth="1"/>
    <col min="2" max="2" width="36.140625" customWidth="1"/>
    <col min="3" max="4" width="18.140625" customWidth="1"/>
    <col min="5" max="5" width="15.28515625" style="25" customWidth="1"/>
    <col min="6" max="7" width="13.28515625" customWidth="1"/>
  </cols>
  <sheetData>
    <row r="1" spans="2:7" ht="15" customHeight="1">
      <c r="B1" s="612" t="s">
        <v>246</v>
      </c>
      <c r="C1" s="613"/>
      <c r="D1" s="613"/>
      <c r="E1" s="613"/>
      <c r="F1" s="613"/>
      <c r="G1" s="613"/>
    </row>
    <row r="2" spans="2:7" ht="15" customHeight="1">
      <c r="B2" s="613"/>
      <c r="C2" s="613"/>
      <c r="D2" s="613"/>
      <c r="E2" s="613"/>
      <c r="F2" s="613"/>
      <c r="G2" s="613"/>
    </row>
    <row r="3" spans="2:7" ht="15" customHeight="1">
      <c r="B3" s="613"/>
      <c r="C3" s="613"/>
      <c r="D3" s="613"/>
      <c r="E3" s="613"/>
      <c r="F3" s="613"/>
      <c r="G3" s="613"/>
    </row>
    <row r="4" spans="2:7" ht="18">
      <c r="B4" s="614" t="s">
        <v>250</v>
      </c>
      <c r="C4" s="615"/>
      <c r="D4" s="615"/>
      <c r="E4" s="615"/>
      <c r="F4" s="615"/>
      <c r="G4" s="615"/>
    </row>
    <row r="6" spans="2:7" ht="15">
      <c r="B6" s="616" t="s">
        <v>251</v>
      </c>
      <c r="C6" s="617"/>
      <c r="D6" s="617"/>
      <c r="E6" s="617"/>
      <c r="F6" s="617"/>
      <c r="G6" s="617"/>
    </row>
    <row r="7" spans="2:7">
      <c r="B7" s="587" t="s">
        <v>252</v>
      </c>
      <c r="E7" s="590">
        <v>46226</v>
      </c>
    </row>
    <row r="8" spans="2:7">
      <c r="B8" s="587" t="s">
        <v>253</v>
      </c>
      <c r="E8" s="591" t="s">
        <v>254</v>
      </c>
    </row>
    <row r="9" spans="2:7">
      <c r="B9" s="587" t="s">
        <v>255</v>
      </c>
      <c r="E9" s="591" t="s">
        <v>256</v>
      </c>
    </row>
    <row r="10" spans="2:7">
      <c r="B10" s="587" t="s">
        <v>257</v>
      </c>
      <c r="E10" s="592" t="s">
        <v>292</v>
      </c>
    </row>
    <row r="11" spans="2:7">
      <c r="B11" s="587" t="s">
        <v>258</v>
      </c>
      <c r="E11" s="591" t="s">
        <v>293</v>
      </c>
    </row>
    <row r="13" spans="2:7" ht="15">
      <c r="B13" s="618" t="s">
        <v>259</v>
      </c>
      <c r="C13" s="617"/>
      <c r="D13" s="617"/>
      <c r="E13" s="617"/>
      <c r="F13" s="617"/>
      <c r="G13" s="617"/>
    </row>
    <row r="14" spans="2:7">
      <c r="B14" s="587" t="s">
        <v>260</v>
      </c>
      <c r="E14" s="606">
        <f>Model!O420</f>
        <v>12.252247214654835</v>
      </c>
    </row>
    <row r="15" spans="2:7">
      <c r="B15" s="588" t="s">
        <v>261</v>
      </c>
      <c r="E15" s="607">
        <f>Assumptions!N8</f>
        <v>11.5</v>
      </c>
    </row>
    <row r="16" spans="2:7">
      <c r="B16" s="588" t="s">
        <v>262</v>
      </c>
      <c r="E16" s="608">
        <f>Model!O426</f>
        <v>6.5412801274333576E-2</v>
      </c>
    </row>
    <row r="18" spans="2:7" ht="15">
      <c r="B18" s="618" t="s">
        <v>263</v>
      </c>
      <c r="C18" s="617"/>
      <c r="D18" s="617"/>
      <c r="E18" s="617"/>
      <c r="F18" s="617"/>
      <c r="G18" s="617"/>
    </row>
    <row r="19" spans="2:7">
      <c r="B19" s="589" t="s">
        <v>264</v>
      </c>
      <c r="E19" s="591" t="s">
        <v>265</v>
      </c>
    </row>
    <row r="20" spans="2:7">
      <c r="B20" s="589" t="s">
        <v>266</v>
      </c>
      <c r="E20" s="591" t="s">
        <v>267</v>
      </c>
    </row>
    <row r="21" spans="2:7">
      <c r="B21" s="589" t="s">
        <v>268</v>
      </c>
      <c r="E21" s="591" t="s">
        <v>269</v>
      </c>
    </row>
    <row r="22" spans="2:7">
      <c r="B22" s="589" t="s">
        <v>270</v>
      </c>
      <c r="E22" s="591" t="s">
        <v>271</v>
      </c>
    </row>
    <row r="23" spans="2:7">
      <c r="B23" s="587" t="s">
        <v>172</v>
      </c>
      <c r="E23" s="591" t="s">
        <v>272</v>
      </c>
    </row>
    <row r="24" spans="2:7">
      <c r="B24" s="587" t="s">
        <v>196</v>
      </c>
      <c r="E24" s="591" t="s">
        <v>273</v>
      </c>
    </row>
    <row r="25" spans="2:7">
      <c r="B25" s="587" t="s">
        <v>197</v>
      </c>
      <c r="E25" s="591" t="s">
        <v>274</v>
      </c>
    </row>
    <row r="26" spans="2:7">
      <c r="E26" s="591"/>
    </row>
    <row r="27" spans="2:7">
      <c r="B27" s="609" t="s">
        <v>275</v>
      </c>
      <c r="C27" s="610"/>
      <c r="D27" s="610"/>
      <c r="E27" s="610"/>
      <c r="F27" s="610"/>
      <c r="G27" s="610"/>
    </row>
    <row r="28" spans="2:7">
      <c r="B28" s="610"/>
      <c r="C28" s="610"/>
      <c r="D28" s="610"/>
      <c r="E28" s="610"/>
      <c r="F28" s="610"/>
      <c r="G28" s="610"/>
    </row>
    <row r="29" spans="2:7">
      <c r="B29" s="611"/>
      <c r="C29" s="611"/>
      <c r="D29" s="611"/>
      <c r="E29" s="611"/>
      <c r="F29" s="611"/>
      <c r="G29" s="611"/>
    </row>
  </sheetData>
  <mergeCells count="6">
    <mergeCell ref="B27:G29"/>
    <mergeCell ref="B1:G3"/>
    <mergeCell ref="B4:G4"/>
    <mergeCell ref="B6:G6"/>
    <mergeCell ref="B13:G13"/>
    <mergeCell ref="B18:G18"/>
  </mergeCells>
  <hyperlinks>
    <hyperlink ref="B19" location="Summary!A1" display="Summary" xr:uid="{2D0047EE-8922-4651-9BFA-6785F3F6A6FB}"/>
    <hyperlink ref="B20" location="Assumptions!A1" display="Assumptions" xr:uid="{8A4C026D-4AAC-4C3B-9A63-907CC09AE68D}"/>
    <hyperlink ref="B21" location="Scenarios!A1" display="Scenarios" xr:uid="{2081E691-CCC8-483B-9118-C33028CC52AF}"/>
    <hyperlink ref="B22" location="Model!A1" display="Model" xr:uid="{B7A06DC0-2CBD-4C50-986B-9045B62C418D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B1:AF67"/>
  <sheetViews>
    <sheetView showGridLines="0" topLeftCell="A21" zoomScale="90" zoomScaleNormal="90" zoomScaleSheetLayoutView="80" workbookViewId="0">
      <selection activeCell="F69" sqref="F69"/>
    </sheetView>
  </sheetViews>
  <sheetFormatPr defaultColWidth="10.7109375" defaultRowHeight="12.75"/>
  <cols>
    <col min="1" max="1" width="2.5703125" style="297" customWidth="1"/>
    <col min="2" max="2" width="4.7109375" style="297" customWidth="1"/>
    <col min="3" max="4" width="1.7109375" style="297" customWidth="1"/>
    <col min="5" max="5" width="20.7109375" style="297" customWidth="1"/>
    <col min="6" max="6" width="9.28515625" style="297" customWidth="1"/>
    <col min="7" max="7" width="1.85546875" style="297" customWidth="1"/>
    <col min="8" max="15" width="9.28515625" style="297" customWidth="1"/>
    <col min="16" max="16" width="1.7109375" style="297" customWidth="1"/>
    <col min="17" max="17" width="4.7109375" style="297" customWidth="1"/>
    <col min="18" max="19" width="2.7109375" style="297" customWidth="1"/>
    <col min="20" max="21" width="1.7109375" style="297" customWidth="1"/>
    <col min="22" max="22" width="20.7109375" style="297" customWidth="1"/>
    <col min="23" max="31" width="9.28515625" style="297" customWidth="1"/>
    <col min="32" max="32" width="1.7109375" style="297" customWidth="1"/>
    <col min="33" max="16384" width="10.7109375" style="297"/>
  </cols>
  <sheetData>
    <row r="1" spans="2:32" ht="40.5" customHeight="1">
      <c r="B1" s="458" t="str">
        <f>Cover!B1</f>
        <v>Blu Containers</v>
      </c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  <c r="T1" s="295"/>
      <c r="U1" s="295"/>
      <c r="V1" s="295"/>
      <c r="W1" s="295"/>
      <c r="X1" s="296"/>
      <c r="Y1" s="296"/>
      <c r="Z1" s="296"/>
      <c r="AA1" s="296"/>
      <c r="AB1" s="296"/>
      <c r="AC1" s="296"/>
      <c r="AD1" s="296"/>
      <c r="AE1" s="296"/>
    </row>
    <row r="2" spans="2:32" ht="18">
      <c r="B2" s="453" t="s">
        <v>177</v>
      </c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T2" s="298"/>
      <c r="U2" s="298"/>
      <c r="V2" s="298"/>
      <c r="W2" s="298"/>
      <c r="X2" s="298"/>
      <c r="Y2" s="298"/>
      <c r="Z2" s="298"/>
      <c r="AA2" s="298"/>
      <c r="AB2" s="298"/>
      <c r="AC2" s="298"/>
      <c r="AD2" s="298"/>
      <c r="AE2" s="298"/>
    </row>
    <row r="3" spans="2:32" ht="3" customHeight="1" thickBot="1"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</row>
    <row r="4" spans="2:32" ht="9.9499999999999993" customHeight="1">
      <c r="C4" s="299"/>
      <c r="D4" s="299"/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T4" s="299"/>
      <c r="U4" s="299"/>
      <c r="V4" s="299"/>
      <c r="W4" s="299"/>
      <c r="X4" s="299"/>
      <c r="Y4" s="299"/>
      <c r="Z4" s="299"/>
      <c r="AA4" s="299"/>
      <c r="AB4" s="299"/>
      <c r="AC4" s="299"/>
      <c r="AD4" s="299"/>
      <c r="AE4" s="299"/>
    </row>
    <row r="5" spans="2:32" ht="15" customHeight="1">
      <c r="C5" s="300" t="s">
        <v>147</v>
      </c>
      <c r="D5" s="301"/>
      <c r="E5" s="301"/>
      <c r="F5" s="301"/>
      <c r="G5" s="301"/>
      <c r="H5" s="299"/>
      <c r="I5" s="299"/>
      <c r="J5" s="299"/>
      <c r="K5" s="299"/>
      <c r="L5" s="299"/>
      <c r="M5" s="299"/>
      <c r="N5" s="299"/>
      <c r="O5" s="299"/>
      <c r="P5" s="299"/>
      <c r="T5" s="300" t="str">
        <f>"SUMMMARY VALUES - "&amp;UPPER(CHOOSE(Scenarios!$E$6,Scenarios!D14,Scenarios!D15,Scenarios!D16))</f>
        <v>SUMMMARY VALUES - BASE CASE</v>
      </c>
      <c r="U5" s="301"/>
      <c r="V5" s="301"/>
      <c r="W5" s="301"/>
      <c r="X5" s="299"/>
      <c r="Y5" s="299"/>
      <c r="Z5" s="299"/>
      <c r="AA5" s="299"/>
      <c r="AB5" s="299"/>
      <c r="AC5" s="299"/>
      <c r="AD5" s="299"/>
      <c r="AE5" s="299"/>
    </row>
    <row r="6" spans="2:32" s="316" customFormat="1" ht="15" customHeight="1">
      <c r="C6" s="398"/>
      <c r="D6" s="399"/>
      <c r="E6" s="399"/>
      <c r="F6" s="399"/>
      <c r="G6" s="399"/>
      <c r="H6" s="400"/>
      <c r="I6" s="400"/>
      <c r="J6" s="400"/>
      <c r="K6" s="401" t="s">
        <v>2</v>
      </c>
      <c r="L6" s="402"/>
      <c r="M6" s="402"/>
      <c r="N6" s="402"/>
      <c r="O6" s="402"/>
      <c r="P6" s="403"/>
      <c r="T6" s="317"/>
      <c r="U6" s="318"/>
      <c r="V6" s="318"/>
      <c r="W6" s="318"/>
      <c r="X6" s="318"/>
      <c r="Y6" s="318"/>
      <c r="Z6" s="318"/>
      <c r="AA6" s="319" t="s">
        <v>2</v>
      </c>
      <c r="AB6" s="320"/>
      <c r="AC6" s="320"/>
      <c r="AD6" s="320"/>
      <c r="AE6" s="320"/>
      <c r="AF6" s="321"/>
    </row>
    <row r="7" spans="2:32" s="316" customFormat="1" ht="15" customHeight="1">
      <c r="C7" s="404"/>
      <c r="D7" s="370" t="s">
        <v>171</v>
      </c>
      <c r="E7" s="371"/>
      <c r="F7" s="370" t="s">
        <v>192</v>
      </c>
      <c r="G7" s="371"/>
      <c r="H7" s="372">
        <f>X7</f>
        <v>2024</v>
      </c>
      <c r="I7" s="372">
        <f t="shared" ref="I7:O7" si="0">Y7</f>
        <v>2025</v>
      </c>
      <c r="J7" s="372">
        <f t="shared" si="0"/>
        <v>2026</v>
      </c>
      <c r="K7" s="373">
        <f t="shared" si="0"/>
        <v>2027</v>
      </c>
      <c r="L7" s="373">
        <f t="shared" si="0"/>
        <v>2028</v>
      </c>
      <c r="M7" s="373">
        <f t="shared" si="0"/>
        <v>2029</v>
      </c>
      <c r="N7" s="373">
        <f t="shared" si="0"/>
        <v>2030</v>
      </c>
      <c r="O7" s="373">
        <f t="shared" si="0"/>
        <v>2031</v>
      </c>
      <c r="P7" s="405"/>
      <c r="T7" s="322"/>
      <c r="U7" s="323"/>
      <c r="V7" s="323"/>
      <c r="W7" s="323"/>
      <c r="X7" s="324">
        <f>Model!H7</f>
        <v>2024</v>
      </c>
      <c r="Y7" s="324">
        <f>Model!I7</f>
        <v>2025</v>
      </c>
      <c r="Z7" s="324">
        <f>Model!J7</f>
        <v>2026</v>
      </c>
      <c r="AA7" s="325">
        <f>Model!K7</f>
        <v>2027</v>
      </c>
      <c r="AB7" s="325">
        <f>Model!L7</f>
        <v>2028</v>
      </c>
      <c r="AC7" s="325">
        <f>Model!M7</f>
        <v>2029</v>
      </c>
      <c r="AD7" s="325">
        <f>Model!N7</f>
        <v>2030</v>
      </c>
      <c r="AE7" s="325">
        <f>Model!O7</f>
        <v>2031</v>
      </c>
      <c r="AF7" s="326"/>
    </row>
    <row r="8" spans="2:32" ht="3" customHeight="1">
      <c r="C8" s="406"/>
      <c r="D8" s="380"/>
      <c r="E8" s="380"/>
      <c r="F8" s="380"/>
      <c r="G8" s="380"/>
      <c r="H8" s="381"/>
      <c r="I8" s="381"/>
      <c r="J8" s="382"/>
      <c r="K8" s="383"/>
      <c r="L8" s="383"/>
      <c r="M8" s="383"/>
      <c r="N8" s="383"/>
      <c r="O8" s="383"/>
      <c r="P8" s="407"/>
      <c r="T8" s="302"/>
      <c r="X8" s="305"/>
      <c r="Y8" s="305"/>
      <c r="Z8" s="306"/>
      <c r="AA8" s="20"/>
      <c r="AB8" s="20"/>
      <c r="AC8" s="20"/>
      <c r="AD8" s="20"/>
      <c r="AE8" s="20"/>
      <c r="AF8" s="304"/>
    </row>
    <row r="9" spans="2:32" ht="3" customHeight="1">
      <c r="C9" s="408"/>
      <c r="D9" s="388"/>
      <c r="E9" s="388"/>
      <c r="F9" s="388"/>
      <c r="G9" s="388"/>
      <c r="H9" s="389"/>
      <c r="I9" s="389"/>
      <c r="J9" s="390"/>
      <c r="K9" s="391"/>
      <c r="L9" s="391"/>
      <c r="M9" s="391"/>
      <c r="N9" s="391"/>
      <c r="O9" s="391"/>
      <c r="P9" s="409"/>
      <c r="T9" s="302"/>
      <c r="X9" s="305"/>
      <c r="Y9" s="305"/>
      <c r="Z9" s="306"/>
      <c r="AA9" s="20"/>
      <c r="AB9" s="20"/>
      <c r="AC9" s="20"/>
      <c r="AD9" s="20"/>
      <c r="AE9" s="20"/>
      <c r="AF9" s="304"/>
    </row>
    <row r="10" spans="2:32" ht="12.95" customHeight="1">
      <c r="C10" s="410"/>
      <c r="D10" s="307" t="s">
        <v>141</v>
      </c>
      <c r="P10" s="411"/>
      <c r="T10" s="302"/>
      <c r="U10" s="307" t="s">
        <v>141</v>
      </c>
      <c r="AF10" s="304"/>
    </row>
    <row r="11" spans="2:32" ht="3" customHeight="1">
      <c r="C11" s="410"/>
      <c r="D11" s="307"/>
      <c r="P11" s="411"/>
      <c r="T11" s="302"/>
      <c r="U11" s="307"/>
      <c r="AF11" s="304"/>
    </row>
    <row r="12" spans="2:32">
      <c r="C12" s="410"/>
      <c r="E12" s="297" t="s">
        <v>3</v>
      </c>
      <c r="F12" s="395"/>
      <c r="H12" s="485">
        <v>213.5</v>
      </c>
      <c r="I12" s="485">
        <v>236.6</v>
      </c>
      <c r="J12" s="485">
        <v>204.8</v>
      </c>
      <c r="K12" s="485">
        <v>239.802822580645</v>
      </c>
      <c r="L12" s="485">
        <v>261.79321161290301</v>
      </c>
      <c r="M12" s="485">
        <v>281.10900479597399</v>
      </c>
      <c r="N12" s="485">
        <v>277.03083124154102</v>
      </c>
      <c r="O12" s="485">
        <v>268.03514363850002</v>
      </c>
      <c r="P12" s="411"/>
      <c r="T12" s="302"/>
      <c r="V12" s="297" t="s">
        <v>3</v>
      </c>
      <c r="W12" s="308" t="s">
        <v>167</v>
      </c>
      <c r="X12" s="486">
        <f>Model!H85</f>
        <v>213.49999999999997</v>
      </c>
      <c r="Y12" s="486">
        <f>Model!I85</f>
        <v>236.60000000000002</v>
      </c>
      <c r="Z12" s="486">
        <f>Model!J85</f>
        <v>204.79999999999998</v>
      </c>
      <c r="AA12" s="486">
        <f>Model!K85</f>
        <v>239.80282258064517</v>
      </c>
      <c r="AB12" s="486">
        <f>Model!L85</f>
        <v>261.79321161290324</v>
      </c>
      <c r="AC12" s="486">
        <f>Model!M85</f>
        <v>281.10900479597422</v>
      </c>
      <c r="AD12" s="486">
        <f>Model!N85</f>
        <v>277.0308312415408</v>
      </c>
      <c r="AE12" s="486">
        <f>Model!O85</f>
        <v>268.03514363850002</v>
      </c>
      <c r="AF12" s="304"/>
    </row>
    <row r="13" spans="2:32">
      <c r="C13" s="410"/>
      <c r="E13" s="310" t="s">
        <v>148</v>
      </c>
      <c r="F13" s="311"/>
      <c r="G13" s="310"/>
      <c r="H13" s="396"/>
      <c r="I13" s="487">
        <f t="shared" ref="I13:O13" si="1">(I12-H12)/H12</f>
        <v>0.10819672131147538</v>
      </c>
      <c r="J13" s="487">
        <f t="shared" si="1"/>
        <v>-0.1344040574809805</v>
      </c>
      <c r="K13" s="487">
        <f t="shared" si="1"/>
        <v>0.17091221963205561</v>
      </c>
      <c r="L13" s="487">
        <f t="shared" si="1"/>
        <v>9.1701960784313558E-2</v>
      </c>
      <c r="M13" s="487">
        <f t="shared" si="1"/>
        <v>7.378263578366584E-2</v>
      </c>
      <c r="N13" s="487">
        <f t="shared" si="1"/>
        <v>-1.4507445456586712E-2</v>
      </c>
      <c r="O13" s="487">
        <f t="shared" si="1"/>
        <v>-3.2471792264875156E-2</v>
      </c>
      <c r="P13" s="411"/>
      <c r="T13" s="302"/>
      <c r="V13" s="310" t="s">
        <v>148</v>
      </c>
      <c r="W13" s="311" t="s">
        <v>109</v>
      </c>
      <c r="Y13" s="488">
        <f>(Y12-X12)/X12</f>
        <v>0.10819672131147566</v>
      </c>
      <c r="Z13" s="488">
        <f t="shared" ref="Z13:AE13" si="2">(Z12-Y12)/Y12</f>
        <v>-0.13440405748098072</v>
      </c>
      <c r="AA13" s="488">
        <f t="shared" si="2"/>
        <v>0.17091221963205661</v>
      </c>
      <c r="AB13" s="488">
        <f t="shared" si="2"/>
        <v>9.1701960784313724E-2</v>
      </c>
      <c r="AC13" s="488">
        <f t="shared" si="2"/>
        <v>7.378263578366577E-2</v>
      </c>
      <c r="AD13" s="488">
        <f t="shared" si="2"/>
        <v>-1.4507445456588318E-2</v>
      </c>
      <c r="AE13" s="488">
        <f t="shared" si="2"/>
        <v>-3.2471792264874358E-2</v>
      </c>
      <c r="AF13" s="304"/>
    </row>
    <row r="14" spans="2:32" ht="3" customHeight="1">
      <c r="C14" s="410"/>
      <c r="E14" s="362"/>
      <c r="F14" s="362"/>
      <c r="G14" s="362"/>
      <c r="H14" s="422"/>
      <c r="I14" s="422"/>
      <c r="J14" s="422"/>
      <c r="K14" s="422"/>
      <c r="L14" s="422"/>
      <c r="M14" s="422"/>
      <c r="N14" s="422"/>
      <c r="O14" s="422"/>
      <c r="P14" s="411"/>
      <c r="T14" s="302"/>
      <c r="AF14" s="304"/>
    </row>
    <row r="15" spans="2:32" ht="3" customHeight="1">
      <c r="C15" s="410"/>
      <c r="H15" s="396"/>
      <c r="I15" s="396"/>
      <c r="J15" s="396"/>
      <c r="K15" s="396"/>
      <c r="L15" s="396"/>
      <c r="M15" s="396"/>
      <c r="N15" s="396"/>
      <c r="O15" s="396"/>
      <c r="P15" s="411"/>
      <c r="T15" s="302"/>
      <c r="AF15" s="304"/>
    </row>
    <row r="16" spans="2:32">
      <c r="C16" s="410"/>
      <c r="E16" s="297" t="s">
        <v>5</v>
      </c>
      <c r="F16" s="395"/>
      <c r="H16" s="485">
        <v>50.2</v>
      </c>
      <c r="I16" s="485">
        <v>68.400000000000006</v>
      </c>
      <c r="J16" s="485">
        <v>33.1</v>
      </c>
      <c r="K16" s="485">
        <v>61.215967741935501</v>
      </c>
      <c r="L16" s="485">
        <v>75.322596000000004</v>
      </c>
      <c r="M16" s="485">
        <v>85.761916793094201</v>
      </c>
      <c r="N16" s="485">
        <v>71.909633024470693</v>
      </c>
      <c r="O16" s="485">
        <v>53.575455009599999</v>
      </c>
      <c r="P16" s="412"/>
      <c r="T16" s="302"/>
      <c r="V16" s="297" t="s">
        <v>5</v>
      </c>
      <c r="W16" s="308" t="s">
        <v>167</v>
      </c>
      <c r="X16" s="486">
        <f>Model!H92</f>
        <v>50.19999999999996</v>
      </c>
      <c r="Y16" s="486">
        <f>Model!I92</f>
        <v>68.400000000000034</v>
      </c>
      <c r="Z16" s="486">
        <f>Model!J92</f>
        <v>33.099999999999966</v>
      </c>
      <c r="AA16" s="486">
        <f>Model!K92</f>
        <v>61.215967741935486</v>
      </c>
      <c r="AB16" s="486">
        <f>Model!L92</f>
        <v>75.322595999999976</v>
      </c>
      <c r="AC16" s="486">
        <f>Model!M92</f>
        <v>85.76191679309423</v>
      </c>
      <c r="AD16" s="486">
        <f>Model!N92</f>
        <v>71.909633024470736</v>
      </c>
      <c r="AE16" s="486">
        <f>Model!O92</f>
        <v>53.575455009600034</v>
      </c>
      <c r="AF16" s="304"/>
    </row>
    <row r="17" spans="3:32">
      <c r="C17" s="410"/>
      <c r="E17" s="310" t="s">
        <v>149</v>
      </c>
      <c r="F17" s="311"/>
      <c r="G17" s="310"/>
      <c r="H17" s="487">
        <f t="shared" ref="H17:O17" si="3">H16/H12</f>
        <v>0.23512880562060892</v>
      </c>
      <c r="I17" s="487">
        <f t="shared" si="3"/>
        <v>0.28909551986475068</v>
      </c>
      <c r="J17" s="487">
        <f t="shared" si="3"/>
        <v>0.16162109375</v>
      </c>
      <c r="K17" s="487">
        <f t="shared" si="3"/>
        <v>0.2552762602339626</v>
      </c>
      <c r="L17" s="487">
        <f t="shared" si="3"/>
        <v>0.2877179111556748</v>
      </c>
      <c r="M17" s="487">
        <f t="shared" si="3"/>
        <v>0.30508420338700754</v>
      </c>
      <c r="N17" s="487">
        <f t="shared" si="3"/>
        <v>0.2595726717571491</v>
      </c>
      <c r="O17" s="487">
        <f t="shared" si="3"/>
        <v>0.19988220306609275</v>
      </c>
      <c r="P17" s="413"/>
      <c r="T17" s="302"/>
      <c r="V17" s="310" t="s">
        <v>149</v>
      </c>
      <c r="W17" s="311" t="s">
        <v>109</v>
      </c>
      <c r="X17" s="488">
        <f>X16/X12</f>
        <v>0.23512880562060876</v>
      </c>
      <c r="Y17" s="488">
        <f t="shared" ref="Y17:AE17" si="4">Y16/Y12</f>
        <v>0.28909551986475074</v>
      </c>
      <c r="Z17" s="488">
        <f t="shared" si="4"/>
        <v>0.16162109374999983</v>
      </c>
      <c r="AA17" s="488">
        <f t="shared" si="4"/>
        <v>0.25527626023396238</v>
      </c>
      <c r="AB17" s="488">
        <f t="shared" si="4"/>
        <v>0.28771791115567447</v>
      </c>
      <c r="AC17" s="488">
        <f t="shared" si="4"/>
        <v>0.30508420338700737</v>
      </c>
      <c r="AD17" s="488">
        <f t="shared" si="4"/>
        <v>0.25957267175714949</v>
      </c>
      <c r="AE17" s="488">
        <f t="shared" si="4"/>
        <v>0.19988220306609289</v>
      </c>
      <c r="AF17" s="304"/>
    </row>
    <row r="18" spans="3:32">
      <c r="C18" s="410"/>
      <c r="E18" s="310" t="s">
        <v>148</v>
      </c>
      <c r="F18" s="311"/>
      <c r="G18" s="310"/>
      <c r="H18" s="397"/>
      <c r="I18" s="487">
        <f t="shared" ref="I18:O18" si="5">(I16-H16)/H16</f>
        <v>0.36254980079681276</v>
      </c>
      <c r="J18" s="487">
        <f t="shared" si="5"/>
        <v>-0.51608187134502925</v>
      </c>
      <c r="K18" s="487">
        <f t="shared" si="5"/>
        <v>0.84942500730922954</v>
      </c>
      <c r="L18" s="487">
        <f t="shared" si="5"/>
        <v>0.23044033735663502</v>
      </c>
      <c r="M18" s="487">
        <f t="shared" si="5"/>
        <v>0.13859480882860431</v>
      </c>
      <c r="N18" s="487">
        <f t="shared" si="5"/>
        <v>-0.16152022117279605</v>
      </c>
      <c r="O18" s="487">
        <f t="shared" si="5"/>
        <v>-0.25496136252887863</v>
      </c>
      <c r="P18" s="413"/>
      <c r="T18" s="302"/>
      <c r="V18" s="310" t="s">
        <v>148</v>
      </c>
      <c r="W18" s="311" t="s">
        <v>109</v>
      </c>
      <c r="X18" s="311"/>
      <c r="Y18" s="488">
        <f>(Y16-X16)/X16</f>
        <v>0.36254980079681448</v>
      </c>
      <c r="Z18" s="488">
        <f t="shared" ref="Z18:AE18" si="6">(Z16-Y16)/Y16</f>
        <v>-0.51608187134503003</v>
      </c>
      <c r="AA18" s="488">
        <f t="shared" si="6"/>
        <v>0.84942500730923109</v>
      </c>
      <c r="AB18" s="488">
        <f t="shared" si="6"/>
        <v>0.23044033735663486</v>
      </c>
      <c r="AC18" s="488">
        <f t="shared" si="6"/>
        <v>0.13859480882860511</v>
      </c>
      <c r="AD18" s="488">
        <f t="shared" si="6"/>
        <v>-0.16152022117279585</v>
      </c>
      <c r="AE18" s="488">
        <f t="shared" si="6"/>
        <v>-0.25496136252887858</v>
      </c>
      <c r="AF18" s="304"/>
    </row>
    <row r="19" spans="3:32" ht="3" customHeight="1">
      <c r="C19" s="410"/>
      <c r="E19" s="362"/>
      <c r="F19" s="362"/>
      <c r="G19" s="362"/>
      <c r="H19" s="422"/>
      <c r="I19" s="422"/>
      <c r="J19" s="422"/>
      <c r="K19" s="422"/>
      <c r="L19" s="422"/>
      <c r="M19" s="422"/>
      <c r="N19" s="422"/>
      <c r="O19" s="422"/>
      <c r="P19" s="411"/>
      <c r="T19" s="302"/>
      <c r="AF19" s="304"/>
    </row>
    <row r="20" spans="3:32" ht="3" customHeight="1">
      <c r="C20" s="410"/>
      <c r="H20" s="396"/>
      <c r="I20" s="396"/>
      <c r="J20" s="396"/>
      <c r="K20" s="396"/>
      <c r="L20" s="396"/>
      <c r="M20" s="396"/>
      <c r="N20" s="396"/>
      <c r="O20" s="396"/>
      <c r="P20" s="411"/>
      <c r="T20" s="302"/>
      <c r="AF20" s="304"/>
    </row>
    <row r="21" spans="3:32">
      <c r="C21" s="410"/>
      <c r="E21" s="297" t="s">
        <v>8</v>
      </c>
      <c r="F21" s="395"/>
      <c r="H21" s="485">
        <v>14.1</v>
      </c>
      <c r="I21" s="485">
        <v>23.7</v>
      </c>
      <c r="J21" s="485">
        <v>2.19999999999997</v>
      </c>
      <c r="K21" s="485">
        <v>21.478795698924699</v>
      </c>
      <c r="L21" s="485">
        <v>31.029907608027699</v>
      </c>
      <c r="M21" s="485">
        <v>38.527846028209801</v>
      </c>
      <c r="N21" s="485">
        <v>30.288468185633999</v>
      </c>
      <c r="O21" s="485">
        <v>18.965988691561499</v>
      </c>
      <c r="P21" s="412"/>
      <c r="T21" s="302"/>
      <c r="V21" s="297" t="s">
        <v>8</v>
      </c>
      <c r="W21" s="308" t="s">
        <v>167</v>
      </c>
      <c r="X21" s="486">
        <f>Model!H104</f>
        <v>14.099999999999962</v>
      </c>
      <c r="Y21" s="486">
        <f>Model!I104</f>
        <v>23.700000000000035</v>
      </c>
      <c r="Z21" s="486">
        <f>Model!J104</f>
        <v>2.1999999999999651</v>
      </c>
      <c r="AA21" s="486">
        <f>Model!K104</f>
        <v>21.478795698924735</v>
      </c>
      <c r="AB21" s="486">
        <f>Model!L104</f>
        <v>31.029907608027678</v>
      </c>
      <c r="AC21" s="486">
        <f>Model!M104</f>
        <v>38.527846028209758</v>
      </c>
      <c r="AD21" s="486">
        <f>Model!N104</f>
        <v>30.288468185633956</v>
      </c>
      <c r="AE21" s="486">
        <f>Model!O104</f>
        <v>18.965988691561456</v>
      </c>
      <c r="AF21" s="304"/>
    </row>
    <row r="22" spans="3:32">
      <c r="C22" s="410"/>
      <c r="E22" s="310" t="s">
        <v>149</v>
      </c>
      <c r="F22" s="364"/>
      <c r="G22" s="310"/>
      <c r="H22" s="487">
        <f t="shared" ref="H22:O22" si="7">H21/H12</f>
        <v>6.6042154566744726E-2</v>
      </c>
      <c r="I22" s="487">
        <f t="shared" si="7"/>
        <v>0.10016906170752325</v>
      </c>
      <c r="J22" s="487">
        <f t="shared" si="7"/>
        <v>1.0742187499999853E-2</v>
      </c>
      <c r="K22" s="487">
        <f t="shared" si="7"/>
        <v>8.9568569159361927E-2</v>
      </c>
      <c r="L22" s="487">
        <f t="shared" si="7"/>
        <v>0.1185283125442903</v>
      </c>
      <c r="M22" s="487">
        <f t="shared" si="7"/>
        <v>0.13705660569704237</v>
      </c>
      <c r="N22" s="487">
        <f t="shared" si="7"/>
        <v>0.10933248133391232</v>
      </c>
      <c r="O22" s="487">
        <f t="shared" si="7"/>
        <v>7.0759335638243756E-2</v>
      </c>
      <c r="P22" s="412"/>
      <c r="T22" s="302"/>
      <c r="V22" s="310" t="s">
        <v>149</v>
      </c>
      <c r="W22" s="311" t="s">
        <v>109</v>
      </c>
      <c r="X22" s="488">
        <f>X21/X12</f>
        <v>6.604215456674456E-2</v>
      </c>
      <c r="Y22" s="488">
        <f t="shared" ref="Y22:AE22" si="8">Y21/Y12</f>
        <v>0.10016906170752338</v>
      </c>
      <c r="Z22" s="488">
        <f t="shared" si="8"/>
        <v>1.074218749999983E-2</v>
      </c>
      <c r="AA22" s="488">
        <f t="shared" si="8"/>
        <v>8.956856915936201E-2</v>
      </c>
      <c r="AB22" s="488">
        <f t="shared" si="8"/>
        <v>0.11852831254429012</v>
      </c>
      <c r="AC22" s="488">
        <f t="shared" si="8"/>
        <v>0.13705660569704212</v>
      </c>
      <c r="AD22" s="488">
        <f t="shared" si="8"/>
        <v>0.10933248133391225</v>
      </c>
      <c r="AE22" s="488">
        <f t="shared" si="8"/>
        <v>7.0759335638243603E-2</v>
      </c>
      <c r="AF22" s="304"/>
    </row>
    <row r="23" spans="3:32">
      <c r="C23" s="410"/>
      <c r="E23" s="310" t="s">
        <v>148</v>
      </c>
      <c r="F23" s="364"/>
      <c r="G23" s="310"/>
      <c r="H23" s="397"/>
      <c r="I23" s="487">
        <f t="shared" ref="I23:O23" si="9">(I21-H21)/H21</f>
        <v>0.68085106382978722</v>
      </c>
      <c r="J23" s="487">
        <f t="shared" si="9"/>
        <v>-0.90717299578059196</v>
      </c>
      <c r="K23" s="487">
        <f t="shared" si="9"/>
        <v>8.7630889540568138</v>
      </c>
      <c r="L23" s="487">
        <f t="shared" si="9"/>
        <v>0.44467632370939497</v>
      </c>
      <c r="M23" s="487">
        <f t="shared" si="9"/>
        <v>0.24163586030924314</v>
      </c>
      <c r="N23" s="487">
        <f t="shared" si="9"/>
        <v>-0.21385513834702805</v>
      </c>
      <c r="O23" s="487">
        <f t="shared" si="9"/>
        <v>-0.37382146316144238</v>
      </c>
      <c r="P23" s="412"/>
      <c r="T23" s="302"/>
      <c r="V23" s="310" t="s">
        <v>148</v>
      </c>
      <c r="W23" s="311" t="s">
        <v>109</v>
      </c>
      <c r="X23" s="311"/>
      <c r="Y23" s="488">
        <f>(Y21-X21)/X21</f>
        <v>0.68085106382979421</v>
      </c>
      <c r="Z23" s="488">
        <f t="shared" ref="Z23:AE23" si="10">(Z21-Y21)/Y21</f>
        <v>-0.90717299578059241</v>
      </c>
      <c r="AA23" s="488">
        <f t="shared" si="10"/>
        <v>8.7630889540568528</v>
      </c>
      <c r="AB23" s="488">
        <f t="shared" si="10"/>
        <v>0.44467632370939159</v>
      </c>
      <c r="AC23" s="488">
        <f t="shared" si="10"/>
        <v>0.24163586030924261</v>
      </c>
      <c r="AD23" s="488">
        <f t="shared" si="10"/>
        <v>-0.2138551383470283</v>
      </c>
      <c r="AE23" s="488">
        <f t="shared" si="10"/>
        <v>-0.37382146316144294</v>
      </c>
      <c r="AF23" s="304"/>
    </row>
    <row r="24" spans="3:32" ht="3.95" customHeight="1">
      <c r="C24" s="414"/>
      <c r="D24" s="415"/>
      <c r="E24" s="416"/>
      <c r="F24" s="415"/>
      <c r="G24" s="415"/>
      <c r="H24" s="415"/>
      <c r="I24" s="415"/>
      <c r="J24" s="415"/>
      <c r="K24" s="415"/>
      <c r="L24" s="415"/>
      <c r="M24" s="415"/>
      <c r="N24" s="415"/>
      <c r="O24" s="415"/>
      <c r="P24" s="417"/>
      <c r="T24" s="312"/>
      <c r="U24" s="303"/>
      <c r="V24" s="303"/>
      <c r="W24" s="303"/>
      <c r="X24" s="303"/>
      <c r="Y24" s="303"/>
      <c r="Z24" s="303"/>
      <c r="AA24" s="303"/>
      <c r="AB24" s="303"/>
      <c r="AC24" s="303"/>
      <c r="AD24" s="303"/>
      <c r="AE24" s="303"/>
      <c r="AF24" s="313"/>
    </row>
    <row r="25" spans="3:32" ht="9.9499999999999993" customHeight="1"/>
    <row r="26" spans="3:32" ht="15" customHeight="1">
      <c r="C26" s="300" t="s">
        <v>178</v>
      </c>
      <c r="D26" s="301"/>
      <c r="E26" s="301"/>
      <c r="F26" s="301"/>
      <c r="G26" s="301"/>
      <c r="H26" s="299"/>
      <c r="I26" s="299"/>
      <c r="J26" s="299"/>
      <c r="K26" s="299"/>
      <c r="L26" s="299"/>
      <c r="M26" s="299"/>
      <c r="N26" s="299"/>
      <c r="O26" s="299"/>
      <c r="P26" s="299"/>
    </row>
    <row r="27" spans="3:32" s="316" customFormat="1" ht="15" customHeight="1">
      <c r="C27" s="398"/>
      <c r="D27" s="399"/>
      <c r="E27" s="399"/>
      <c r="F27" s="399"/>
      <c r="G27" s="399"/>
      <c r="H27" s="400"/>
      <c r="I27" s="400"/>
      <c r="J27" s="400"/>
      <c r="K27" s="401" t="s">
        <v>2</v>
      </c>
      <c r="L27" s="402"/>
      <c r="M27" s="402"/>
      <c r="N27" s="402"/>
      <c r="O27" s="402"/>
      <c r="P27" s="418"/>
    </row>
    <row r="28" spans="3:32" s="316" customFormat="1" ht="15" customHeight="1">
      <c r="C28" s="404"/>
      <c r="D28" s="370" t="s">
        <v>171</v>
      </c>
      <c r="E28" s="371"/>
      <c r="F28" s="370" t="s">
        <v>192</v>
      </c>
      <c r="G28" s="371"/>
      <c r="H28" s="372">
        <f t="shared" ref="H28:O28" si="11">H7</f>
        <v>2024</v>
      </c>
      <c r="I28" s="372">
        <f t="shared" si="11"/>
        <v>2025</v>
      </c>
      <c r="J28" s="372">
        <f t="shared" si="11"/>
        <v>2026</v>
      </c>
      <c r="K28" s="373">
        <f t="shared" si="11"/>
        <v>2027</v>
      </c>
      <c r="L28" s="373">
        <f t="shared" si="11"/>
        <v>2028</v>
      </c>
      <c r="M28" s="373">
        <f t="shared" si="11"/>
        <v>2029</v>
      </c>
      <c r="N28" s="373">
        <f t="shared" si="11"/>
        <v>2030</v>
      </c>
      <c r="O28" s="373">
        <f t="shared" si="11"/>
        <v>2031</v>
      </c>
      <c r="P28" s="419"/>
    </row>
    <row r="29" spans="3:32" ht="3" customHeight="1">
      <c r="C29" s="406"/>
      <c r="D29" s="380"/>
      <c r="E29" s="380"/>
      <c r="F29" s="380"/>
      <c r="G29" s="380"/>
      <c r="H29" s="381"/>
      <c r="I29" s="381"/>
      <c r="J29" s="382"/>
      <c r="K29" s="383"/>
      <c r="L29" s="383"/>
      <c r="M29" s="383"/>
      <c r="N29" s="383"/>
      <c r="O29" s="383"/>
      <c r="P29" s="407"/>
    </row>
    <row r="30" spans="3:32" ht="3" customHeight="1">
      <c r="C30" s="408"/>
      <c r="D30" s="388"/>
      <c r="E30" s="388"/>
      <c r="F30" s="388"/>
      <c r="G30" s="388"/>
      <c r="H30" s="389"/>
      <c r="I30" s="389"/>
      <c r="J30" s="390"/>
      <c r="K30" s="391"/>
      <c r="L30" s="391"/>
      <c r="M30" s="391"/>
      <c r="N30" s="391"/>
      <c r="O30" s="391"/>
      <c r="P30" s="409"/>
    </row>
    <row r="31" spans="3:32" ht="12.95" customHeight="1">
      <c r="C31" s="410"/>
      <c r="D31" s="307" t="s">
        <v>141</v>
      </c>
      <c r="P31" s="411"/>
    </row>
    <row r="32" spans="3:32" ht="3" customHeight="1">
      <c r="C32" s="410"/>
      <c r="D32" s="307"/>
      <c r="P32" s="411"/>
    </row>
    <row r="33" spans="3:31">
      <c r="C33" s="410"/>
      <c r="E33" s="297" t="s">
        <v>3</v>
      </c>
      <c r="F33" s="395"/>
      <c r="H33" s="485">
        <v>213.5</v>
      </c>
      <c r="I33" s="485">
        <v>236.6</v>
      </c>
      <c r="J33" s="485">
        <v>204.8</v>
      </c>
      <c r="K33" s="485">
        <v>250.94298387096799</v>
      </c>
      <c r="L33" s="485">
        <v>273.98369624516101</v>
      </c>
      <c r="M33" s="485">
        <v>297.21531508419503</v>
      </c>
      <c r="N33" s="485">
        <v>296.10531587775301</v>
      </c>
      <c r="O33" s="485">
        <v>281.50084467066199</v>
      </c>
      <c r="P33" s="411"/>
      <c r="W33" s="308"/>
      <c r="X33" s="309"/>
      <c r="Y33" s="309"/>
      <c r="Z33" s="309"/>
      <c r="AA33" s="309"/>
      <c r="AB33" s="309"/>
      <c r="AC33" s="309"/>
      <c r="AD33" s="309"/>
      <c r="AE33" s="309"/>
    </row>
    <row r="34" spans="3:31">
      <c r="C34" s="410"/>
      <c r="E34" s="310" t="s">
        <v>148</v>
      </c>
      <c r="F34" s="311"/>
      <c r="G34" s="310"/>
      <c r="H34" s="396"/>
      <c r="I34" s="487">
        <f t="shared" ref="I34:O34" si="12">(I33-H33)/H33</f>
        <v>0.10819672131147538</v>
      </c>
      <c r="J34" s="487">
        <f t="shared" si="12"/>
        <v>-0.1344040574809805</v>
      </c>
      <c r="K34" s="487">
        <f t="shared" si="12"/>
        <v>0.22530753843246085</v>
      </c>
      <c r="L34" s="487">
        <f t="shared" si="12"/>
        <v>9.1816523493800054E-2</v>
      </c>
      <c r="M34" s="487">
        <f t="shared" si="12"/>
        <v>8.4791975425597313E-2</v>
      </c>
      <c r="N34" s="487">
        <f t="shared" si="12"/>
        <v>-3.7346635590685224E-3</v>
      </c>
      <c r="O34" s="487">
        <f t="shared" si="12"/>
        <v>-4.932188118203347E-2</v>
      </c>
      <c r="P34" s="411"/>
      <c r="V34" s="314"/>
      <c r="W34" s="308"/>
      <c r="Y34" s="194"/>
      <c r="Z34" s="194"/>
      <c r="AA34" s="194"/>
      <c r="AB34" s="194"/>
      <c r="AC34" s="194"/>
      <c r="AD34" s="194"/>
      <c r="AE34" s="194"/>
    </row>
    <row r="35" spans="3:31" ht="3" customHeight="1">
      <c r="C35" s="410"/>
      <c r="H35" s="422"/>
      <c r="I35" s="422"/>
      <c r="J35" s="422"/>
      <c r="K35" s="422"/>
      <c r="L35" s="422"/>
      <c r="M35" s="422"/>
      <c r="N35" s="422"/>
      <c r="O35" s="422"/>
      <c r="P35" s="411"/>
    </row>
    <row r="36" spans="3:31" ht="3" customHeight="1">
      <c r="C36" s="410"/>
      <c r="H36" s="396"/>
      <c r="I36" s="396"/>
      <c r="J36" s="396"/>
      <c r="K36" s="396"/>
      <c r="L36" s="396"/>
      <c r="M36" s="396"/>
      <c r="N36" s="396"/>
      <c r="O36" s="396"/>
      <c r="P36" s="411"/>
    </row>
    <row r="37" spans="3:31">
      <c r="C37" s="410"/>
      <c r="E37" s="297" t="s">
        <v>5</v>
      </c>
      <c r="F37" s="395"/>
      <c r="H37" s="485">
        <v>50.2</v>
      </c>
      <c r="I37" s="485">
        <v>68.400000000000006</v>
      </c>
      <c r="J37" s="485">
        <v>33.1</v>
      </c>
      <c r="K37" s="485">
        <v>72.356129032258096</v>
      </c>
      <c r="L37" s="485">
        <v>87.878709290322504</v>
      </c>
      <c r="M37" s="485">
        <v>102.065095508168</v>
      </c>
      <c r="N37" s="485">
        <v>90.952379711428307</v>
      </c>
      <c r="O37" s="485">
        <v>70.580712709151996</v>
      </c>
      <c r="P37" s="412"/>
      <c r="W37" s="308"/>
      <c r="X37" s="309"/>
      <c r="Y37" s="309"/>
      <c r="Z37" s="309"/>
      <c r="AA37" s="309"/>
      <c r="AB37" s="309"/>
      <c r="AC37" s="309"/>
      <c r="AD37" s="309"/>
      <c r="AE37" s="309"/>
    </row>
    <row r="38" spans="3:31">
      <c r="C38" s="410"/>
      <c r="E38" s="310" t="s">
        <v>149</v>
      </c>
      <c r="F38" s="311"/>
      <c r="G38" s="310"/>
      <c r="H38" s="487">
        <f t="shared" ref="H38:O38" si="13">H37/H33</f>
        <v>0.23512880562060892</v>
      </c>
      <c r="I38" s="487">
        <f t="shared" si="13"/>
        <v>0.28909551986475068</v>
      </c>
      <c r="J38" s="487">
        <f t="shared" si="13"/>
        <v>0.16162109375</v>
      </c>
      <c r="K38" s="487">
        <f t="shared" si="13"/>
        <v>0.28833692783960357</v>
      </c>
      <c r="L38" s="487">
        <f t="shared" si="13"/>
        <v>0.32074430155759526</v>
      </c>
      <c r="M38" s="487">
        <f t="shared" si="13"/>
        <v>0.3434045633861601</v>
      </c>
      <c r="N38" s="487">
        <f t="shared" si="13"/>
        <v>0.30716226570203814</v>
      </c>
      <c r="O38" s="487">
        <f t="shared" si="13"/>
        <v>0.25073002104745695</v>
      </c>
      <c r="P38" s="413"/>
      <c r="V38" s="314"/>
      <c r="W38" s="308"/>
      <c r="X38" s="194"/>
      <c r="Y38" s="194"/>
      <c r="Z38" s="194"/>
      <c r="AA38" s="194"/>
      <c r="AB38" s="194"/>
      <c r="AC38" s="194"/>
      <c r="AD38" s="194"/>
      <c r="AE38" s="194"/>
    </row>
    <row r="39" spans="3:31">
      <c r="C39" s="410"/>
      <c r="E39" s="310" t="s">
        <v>148</v>
      </c>
      <c r="F39" s="311"/>
      <c r="G39" s="310"/>
      <c r="H39" s="397"/>
      <c r="I39" s="487">
        <f t="shared" ref="I39:O39" si="14">(I37-H37)/H37</f>
        <v>0.36254980079681276</v>
      </c>
      <c r="J39" s="487">
        <f t="shared" si="14"/>
        <v>-0.51608187134502925</v>
      </c>
      <c r="K39" s="487">
        <f t="shared" si="14"/>
        <v>1.1859857713673141</v>
      </c>
      <c r="L39" s="487">
        <f t="shared" si="14"/>
        <v>0.21453027498394878</v>
      </c>
      <c r="M39" s="487">
        <f t="shared" si="14"/>
        <v>0.16143143580976271</v>
      </c>
      <c r="N39" s="487">
        <f t="shared" si="14"/>
        <v>-0.10887870864580117</v>
      </c>
      <c r="O39" s="487">
        <f t="shared" si="14"/>
        <v>-0.22398168213862116</v>
      </c>
      <c r="P39" s="413"/>
      <c r="V39" s="314"/>
      <c r="W39" s="308"/>
      <c r="Y39" s="194"/>
      <c r="Z39" s="194"/>
      <c r="AA39" s="194"/>
      <c r="AB39" s="194"/>
      <c r="AC39" s="194"/>
      <c r="AD39" s="194"/>
      <c r="AE39" s="194"/>
    </row>
    <row r="40" spans="3:31" ht="3" customHeight="1">
      <c r="C40" s="410"/>
      <c r="H40" s="422"/>
      <c r="I40" s="422"/>
      <c r="J40" s="422"/>
      <c r="K40" s="422"/>
      <c r="L40" s="422"/>
      <c r="M40" s="422"/>
      <c r="N40" s="422"/>
      <c r="O40" s="422"/>
      <c r="P40" s="411"/>
    </row>
    <row r="41" spans="3:31" ht="3" customHeight="1">
      <c r="C41" s="410"/>
      <c r="H41" s="396"/>
      <c r="I41" s="396"/>
      <c r="J41" s="396"/>
      <c r="K41" s="396"/>
      <c r="L41" s="396"/>
      <c r="M41" s="396"/>
      <c r="N41" s="396"/>
      <c r="O41" s="396"/>
      <c r="P41" s="411"/>
    </row>
    <row r="42" spans="3:31">
      <c r="C42" s="410"/>
      <c r="E42" s="297" t="s">
        <v>8</v>
      </c>
      <c r="F42" s="395"/>
      <c r="H42" s="485">
        <v>14.1</v>
      </c>
      <c r="I42" s="485">
        <v>23.7</v>
      </c>
      <c r="J42" s="485">
        <v>2.19999999999997</v>
      </c>
      <c r="K42" s="485">
        <v>28.719900537634398</v>
      </c>
      <c r="L42" s="485">
        <v>39.3601684247311</v>
      </c>
      <c r="M42" s="485">
        <v>49.300648448049898</v>
      </c>
      <c r="N42" s="485">
        <v>42.7918996594451</v>
      </c>
      <c r="O42" s="485">
        <v>30.207764787764201</v>
      </c>
      <c r="P42" s="412"/>
      <c r="W42" s="308"/>
      <c r="X42" s="315"/>
      <c r="Y42" s="315"/>
      <c r="Z42" s="315"/>
      <c r="AA42" s="309"/>
      <c r="AB42" s="309"/>
      <c r="AC42" s="309"/>
      <c r="AD42" s="309"/>
      <c r="AE42" s="309"/>
    </row>
    <row r="43" spans="3:31">
      <c r="C43" s="410"/>
      <c r="E43" s="310" t="s">
        <v>149</v>
      </c>
      <c r="F43" s="311"/>
      <c r="G43" s="310"/>
      <c r="H43" s="487">
        <f t="shared" ref="H43:O43" si="15">H42/H33</f>
        <v>6.6042154566744726E-2</v>
      </c>
      <c r="I43" s="487">
        <f t="shared" si="15"/>
        <v>0.10016906170752325</v>
      </c>
      <c r="J43" s="487">
        <f t="shared" si="15"/>
        <v>1.0742187499999853E-2</v>
      </c>
      <c r="K43" s="487">
        <f t="shared" si="15"/>
        <v>0.11444791201017138</v>
      </c>
      <c r="L43" s="487">
        <f t="shared" si="15"/>
        <v>0.14365879781952998</v>
      </c>
      <c r="M43" s="487">
        <f t="shared" si="15"/>
        <v>0.1658751953414111</v>
      </c>
      <c r="N43" s="487">
        <f t="shared" si="15"/>
        <v>0.14451581030416799</v>
      </c>
      <c r="O43" s="487">
        <f t="shared" si="15"/>
        <v>0.10730967725196476</v>
      </c>
      <c r="P43" s="412"/>
      <c r="W43" s="308"/>
      <c r="X43" s="315"/>
      <c r="Y43" s="315"/>
      <c r="Z43" s="315"/>
      <c r="AA43" s="309"/>
      <c r="AB43" s="309"/>
      <c r="AC43" s="309"/>
      <c r="AD43" s="309"/>
      <c r="AE43" s="309"/>
    </row>
    <row r="44" spans="3:31">
      <c r="C44" s="410"/>
      <c r="E44" s="310" t="s">
        <v>148</v>
      </c>
      <c r="F44" s="311"/>
      <c r="G44" s="310"/>
      <c r="H44" s="397"/>
      <c r="I44" s="487">
        <f t="shared" ref="I44:O44" si="16">(I42-H42)/H42</f>
        <v>0.68085106382978722</v>
      </c>
      <c r="J44" s="487">
        <f t="shared" si="16"/>
        <v>-0.90717299578059196</v>
      </c>
      <c r="K44" s="487">
        <f t="shared" si="16"/>
        <v>12.054500244379449</v>
      </c>
      <c r="L44" s="487">
        <f t="shared" si="16"/>
        <v>0.3704841482007834</v>
      </c>
      <c r="M44" s="487">
        <f t="shared" si="16"/>
        <v>0.25255176543078295</v>
      </c>
      <c r="N44" s="487">
        <f t="shared" si="16"/>
        <v>-0.1320215655066552</v>
      </c>
      <c r="O44" s="487">
        <f t="shared" si="16"/>
        <v>-0.29407749999019517</v>
      </c>
      <c r="P44" s="412"/>
      <c r="W44" s="308"/>
      <c r="X44" s="315"/>
      <c r="Y44" s="315"/>
      <c r="Z44" s="315"/>
      <c r="AA44" s="309"/>
      <c r="AB44" s="309"/>
      <c r="AC44" s="309"/>
      <c r="AD44" s="309"/>
      <c r="AE44" s="309"/>
    </row>
    <row r="45" spans="3:31" ht="3.95" customHeight="1">
      <c r="C45" s="414"/>
      <c r="D45" s="415"/>
      <c r="E45" s="415"/>
      <c r="F45" s="415"/>
      <c r="G45" s="415"/>
      <c r="H45" s="415"/>
      <c r="I45" s="415"/>
      <c r="J45" s="415"/>
      <c r="K45" s="415"/>
      <c r="L45" s="415"/>
      <c r="M45" s="415"/>
      <c r="N45" s="415"/>
      <c r="O45" s="415"/>
      <c r="P45" s="417"/>
    </row>
    <row r="46" spans="3:31" ht="9.9499999999999993" customHeight="1"/>
    <row r="47" spans="3:31" ht="15" customHeight="1">
      <c r="C47" s="300" t="s">
        <v>150</v>
      </c>
      <c r="D47" s="301"/>
      <c r="E47" s="301"/>
      <c r="F47" s="301"/>
      <c r="G47" s="301"/>
      <c r="H47" s="299"/>
      <c r="I47" s="299"/>
      <c r="J47" s="299"/>
      <c r="K47" s="299"/>
      <c r="L47" s="299"/>
      <c r="M47" s="299"/>
      <c r="N47" s="299"/>
      <c r="O47" s="299"/>
      <c r="P47" s="299"/>
    </row>
    <row r="48" spans="3:31" s="316" customFormat="1" ht="15" customHeight="1">
      <c r="C48" s="398"/>
      <c r="D48" s="399"/>
      <c r="E48" s="399"/>
      <c r="F48" s="399"/>
      <c r="G48" s="399"/>
      <c r="H48" s="400"/>
      <c r="I48" s="400"/>
      <c r="J48" s="400"/>
      <c r="K48" s="401" t="s">
        <v>2</v>
      </c>
      <c r="L48" s="402"/>
      <c r="M48" s="402"/>
      <c r="N48" s="402"/>
      <c r="O48" s="402"/>
      <c r="P48" s="418"/>
    </row>
    <row r="49" spans="3:31" s="316" customFormat="1" ht="15" customHeight="1">
      <c r="C49" s="420"/>
      <c r="D49" s="370" t="s">
        <v>171</v>
      </c>
      <c r="E49" s="374"/>
      <c r="F49" s="370" t="s">
        <v>192</v>
      </c>
      <c r="G49" s="374"/>
      <c r="H49" s="375">
        <f>H28</f>
        <v>2024</v>
      </c>
      <c r="I49" s="375">
        <f t="shared" ref="I49:O49" si="17">I28</f>
        <v>2025</v>
      </c>
      <c r="J49" s="375">
        <f t="shared" si="17"/>
        <v>2026</v>
      </c>
      <c r="K49" s="376">
        <f t="shared" si="17"/>
        <v>2027</v>
      </c>
      <c r="L49" s="376">
        <f t="shared" si="17"/>
        <v>2028</v>
      </c>
      <c r="M49" s="376">
        <f t="shared" si="17"/>
        <v>2029</v>
      </c>
      <c r="N49" s="376">
        <f t="shared" si="17"/>
        <v>2030</v>
      </c>
      <c r="O49" s="376">
        <f t="shared" si="17"/>
        <v>2031</v>
      </c>
      <c r="P49" s="421"/>
    </row>
    <row r="50" spans="3:31" ht="3" customHeight="1">
      <c r="C50" s="406"/>
      <c r="D50" s="380"/>
      <c r="E50" s="380"/>
      <c r="F50" s="380"/>
      <c r="G50" s="380"/>
      <c r="H50" s="381"/>
      <c r="I50" s="381"/>
      <c r="J50" s="382"/>
      <c r="K50" s="383"/>
      <c r="L50" s="383"/>
      <c r="M50" s="383"/>
      <c r="N50" s="383"/>
      <c r="O50" s="383"/>
      <c r="P50" s="407"/>
      <c r="X50" s="316"/>
      <c r="Y50" s="316"/>
      <c r="Z50" s="316"/>
      <c r="AA50" s="316"/>
      <c r="AB50" s="316"/>
      <c r="AC50" s="316"/>
      <c r="AD50" s="316"/>
      <c r="AE50" s="316"/>
    </row>
    <row r="51" spans="3:31" ht="3" customHeight="1">
      <c r="C51" s="408"/>
      <c r="D51" s="388"/>
      <c r="E51" s="388"/>
      <c r="F51" s="388"/>
      <c r="G51" s="388"/>
      <c r="H51" s="389"/>
      <c r="I51" s="389"/>
      <c r="J51" s="390"/>
      <c r="K51" s="391"/>
      <c r="L51" s="391"/>
      <c r="M51" s="391"/>
      <c r="N51" s="391"/>
      <c r="O51" s="391"/>
      <c r="P51" s="409"/>
      <c r="X51" s="316"/>
      <c r="Y51" s="316"/>
      <c r="Z51" s="316"/>
      <c r="AA51" s="316"/>
      <c r="AB51" s="316"/>
      <c r="AC51" s="316"/>
      <c r="AD51" s="316"/>
      <c r="AE51" s="316"/>
    </row>
    <row r="52" spans="3:31" ht="12.95" customHeight="1">
      <c r="C52" s="410"/>
      <c r="D52" s="307" t="s">
        <v>141</v>
      </c>
      <c r="P52" s="411"/>
      <c r="X52" s="316"/>
      <c r="Y52" s="316"/>
      <c r="Z52" s="316"/>
      <c r="AA52" s="316"/>
      <c r="AB52" s="316"/>
      <c r="AC52" s="316"/>
      <c r="AD52" s="316"/>
      <c r="AE52" s="316"/>
    </row>
    <row r="53" spans="3:31">
      <c r="C53" s="410"/>
      <c r="E53" s="297" t="s">
        <v>3</v>
      </c>
      <c r="F53" s="395"/>
      <c r="H53" s="485">
        <v>213.5</v>
      </c>
      <c r="I53" s="485">
        <v>236.6</v>
      </c>
      <c r="J53" s="485">
        <v>204.8</v>
      </c>
      <c r="K53" s="485">
        <v>226.377447004608</v>
      </c>
      <c r="L53" s="485">
        <v>246.99645944700501</v>
      </c>
      <c r="M53" s="485">
        <v>262.60854165748901</v>
      </c>
      <c r="N53" s="485">
        <v>256.141611218138</v>
      </c>
      <c r="O53" s="485">
        <v>244.66998081661501</v>
      </c>
      <c r="P53" s="411"/>
      <c r="W53" s="308"/>
      <c r="X53" s="316"/>
      <c r="Y53" s="316"/>
      <c r="Z53" s="316"/>
      <c r="AA53" s="316"/>
      <c r="AB53" s="316"/>
      <c r="AC53" s="316"/>
      <c r="AD53" s="316"/>
      <c r="AE53" s="316"/>
    </row>
    <row r="54" spans="3:31">
      <c r="C54" s="410"/>
      <c r="E54" s="310" t="s">
        <v>148</v>
      </c>
      <c r="F54" s="311"/>
      <c r="G54" s="310"/>
      <c r="H54" s="396"/>
      <c r="I54" s="487">
        <f t="shared" ref="I54:O54" si="18">(I53-H53)/H53</f>
        <v>0.10819672131147538</v>
      </c>
      <c r="J54" s="487">
        <f t="shared" si="18"/>
        <v>-0.1344040574809805</v>
      </c>
      <c r="K54" s="487">
        <f t="shared" si="18"/>
        <v>0.10535862795218745</v>
      </c>
      <c r="L54" s="487">
        <f t="shared" si="18"/>
        <v>9.1082449754711206E-2</v>
      </c>
      <c r="M54" s="487">
        <f t="shared" si="18"/>
        <v>6.3207716602244238E-2</v>
      </c>
      <c r="N54" s="487">
        <f t="shared" si="18"/>
        <v>-2.4625742934841797E-2</v>
      </c>
      <c r="O54" s="487">
        <f t="shared" si="18"/>
        <v>-4.4786281881210616E-2</v>
      </c>
      <c r="P54" s="411"/>
      <c r="V54" s="314"/>
      <c r="W54" s="308"/>
      <c r="X54" s="316"/>
      <c r="Y54" s="316"/>
      <c r="Z54" s="316"/>
      <c r="AA54" s="316"/>
      <c r="AB54" s="316"/>
      <c r="AC54" s="316"/>
      <c r="AD54" s="316"/>
      <c r="AE54" s="316"/>
    </row>
    <row r="55" spans="3:31" ht="3" customHeight="1">
      <c r="C55" s="410"/>
      <c r="H55" s="422"/>
      <c r="I55" s="422"/>
      <c r="J55" s="422"/>
      <c r="K55" s="422"/>
      <c r="L55" s="422"/>
      <c r="M55" s="422"/>
      <c r="N55" s="422"/>
      <c r="O55" s="422"/>
      <c r="P55" s="411"/>
      <c r="X55" s="316"/>
      <c r="Y55" s="316"/>
      <c r="Z55" s="316"/>
      <c r="AA55" s="316"/>
      <c r="AB55" s="316"/>
      <c r="AC55" s="316"/>
      <c r="AD55" s="316"/>
      <c r="AE55" s="316"/>
    </row>
    <row r="56" spans="3:31" ht="3" customHeight="1">
      <c r="C56" s="410"/>
      <c r="H56" s="396"/>
      <c r="I56" s="396"/>
      <c r="J56" s="396"/>
      <c r="K56" s="396"/>
      <c r="L56" s="396"/>
      <c r="M56" s="396"/>
      <c r="N56" s="396"/>
      <c r="O56" s="396"/>
      <c r="P56" s="411"/>
      <c r="X56" s="316"/>
      <c r="Y56" s="316"/>
      <c r="Z56" s="316"/>
      <c r="AA56" s="316"/>
      <c r="AB56" s="316"/>
      <c r="AC56" s="316"/>
      <c r="AD56" s="316"/>
      <c r="AE56" s="316"/>
    </row>
    <row r="57" spans="3:31">
      <c r="C57" s="410"/>
      <c r="E57" s="297" t="s">
        <v>5</v>
      </c>
      <c r="F57" s="395"/>
      <c r="H57" s="485">
        <v>50.2</v>
      </c>
      <c r="I57" s="485">
        <v>68.400000000000006</v>
      </c>
      <c r="J57" s="485">
        <v>33.1</v>
      </c>
      <c r="K57" s="485">
        <v>48.797133640553</v>
      </c>
      <c r="L57" s="485">
        <v>60.684745400921699</v>
      </c>
      <c r="M57" s="485">
        <v>68.207666428336495</v>
      </c>
      <c r="N57" s="485">
        <v>53.258046991835499</v>
      </c>
      <c r="O57" s="485">
        <v>34.164573612547699</v>
      </c>
      <c r="P57" s="412"/>
      <c r="W57" s="308"/>
      <c r="X57" s="316"/>
      <c r="Y57" s="316"/>
      <c r="Z57" s="316"/>
      <c r="AA57" s="316"/>
      <c r="AB57" s="316"/>
      <c r="AC57" s="316"/>
      <c r="AD57" s="316"/>
      <c r="AE57" s="316"/>
    </row>
    <row r="58" spans="3:31">
      <c r="C58" s="410"/>
      <c r="E58" s="310" t="s">
        <v>149</v>
      </c>
      <c r="F58" s="311"/>
      <c r="G58" s="310"/>
      <c r="H58" s="487">
        <f t="shared" ref="H58:O58" si="19">H57/H53</f>
        <v>0.23512880562060892</v>
      </c>
      <c r="I58" s="487">
        <f t="shared" si="19"/>
        <v>0.28909551986475068</v>
      </c>
      <c r="J58" s="487">
        <f t="shared" si="19"/>
        <v>0.16162109375</v>
      </c>
      <c r="K58" s="487">
        <f t="shared" si="19"/>
        <v>0.21555651539598694</v>
      </c>
      <c r="L58" s="487">
        <f t="shared" si="19"/>
        <v>0.24569075012972838</v>
      </c>
      <c r="M58" s="487">
        <f t="shared" si="19"/>
        <v>0.25973133241529262</v>
      </c>
      <c r="N58" s="487">
        <f t="shared" si="19"/>
        <v>0.20792422886135173</v>
      </c>
      <c r="O58" s="487">
        <f t="shared" si="19"/>
        <v>0.13963533040922876</v>
      </c>
      <c r="P58" s="413"/>
      <c r="V58" s="314"/>
      <c r="W58" s="308"/>
      <c r="X58" s="316"/>
      <c r="Y58" s="316"/>
      <c r="Z58" s="316"/>
      <c r="AA58" s="316"/>
      <c r="AB58" s="316"/>
      <c r="AC58" s="316"/>
      <c r="AD58" s="316"/>
      <c r="AE58" s="316"/>
    </row>
    <row r="59" spans="3:31">
      <c r="C59" s="410"/>
      <c r="E59" s="310" t="s">
        <v>148</v>
      </c>
      <c r="F59" s="311"/>
      <c r="G59" s="310"/>
      <c r="H59" s="397"/>
      <c r="I59" s="487">
        <f t="shared" ref="I59:O59" si="20">(I57-H57)/H57</f>
        <v>0.36254980079681276</v>
      </c>
      <c r="J59" s="487">
        <f t="shared" si="20"/>
        <v>-0.51608187134502925</v>
      </c>
      <c r="K59" s="487">
        <f t="shared" si="20"/>
        <v>0.47423364472969781</v>
      </c>
      <c r="L59" s="487">
        <f t="shared" si="20"/>
        <v>0.24361291070771962</v>
      </c>
      <c r="M59" s="487">
        <f t="shared" si="20"/>
        <v>0.12396725038085989</v>
      </c>
      <c r="N59" s="487">
        <f t="shared" si="20"/>
        <v>-0.21917799302235416</v>
      </c>
      <c r="O59" s="487">
        <f t="shared" si="20"/>
        <v>-0.35850870352446168</v>
      </c>
      <c r="P59" s="413"/>
      <c r="V59" s="314"/>
      <c r="W59" s="308"/>
      <c r="X59" s="316"/>
      <c r="Y59" s="316"/>
      <c r="Z59" s="316"/>
      <c r="AA59" s="316"/>
      <c r="AB59" s="316"/>
      <c r="AC59" s="316"/>
      <c r="AD59" s="316"/>
      <c r="AE59" s="316"/>
    </row>
    <row r="60" spans="3:31" ht="3" customHeight="1">
      <c r="C60" s="410"/>
      <c r="H60" s="422"/>
      <c r="I60" s="422"/>
      <c r="J60" s="422"/>
      <c r="K60" s="422"/>
      <c r="L60" s="422"/>
      <c r="M60" s="422"/>
      <c r="N60" s="422"/>
      <c r="O60" s="422"/>
      <c r="P60" s="411"/>
      <c r="X60" s="316"/>
      <c r="Y60" s="316"/>
      <c r="Z60" s="316"/>
      <c r="AA60" s="316"/>
      <c r="AB60" s="316"/>
      <c r="AC60" s="316"/>
      <c r="AD60" s="316"/>
      <c r="AE60" s="316"/>
    </row>
    <row r="61" spans="3:31" ht="3" customHeight="1">
      <c r="C61" s="410"/>
      <c r="H61" s="396"/>
      <c r="I61" s="396"/>
      <c r="J61" s="396"/>
      <c r="K61" s="396"/>
      <c r="L61" s="396"/>
      <c r="M61" s="396"/>
      <c r="N61" s="396"/>
      <c r="O61" s="396"/>
      <c r="P61" s="411"/>
      <c r="X61" s="316"/>
      <c r="Y61" s="316"/>
      <c r="Z61" s="316"/>
      <c r="AA61" s="316"/>
      <c r="AB61" s="316"/>
      <c r="AC61" s="316"/>
      <c r="AD61" s="316"/>
      <c r="AE61" s="316"/>
    </row>
    <row r="62" spans="3:31">
      <c r="C62" s="410"/>
      <c r="E62" s="297" t="s">
        <v>8</v>
      </c>
      <c r="F62" s="395"/>
      <c r="H62" s="485">
        <v>14.1</v>
      </c>
      <c r="I62" s="485">
        <v>23.7</v>
      </c>
      <c r="J62" s="485">
        <v>2.19999999999997</v>
      </c>
      <c r="K62" s="485">
        <v>13.4065535330261</v>
      </c>
      <c r="L62" s="485">
        <v>21.338006446082101</v>
      </c>
      <c r="M62" s="485">
        <v>26.633629435817902</v>
      </c>
      <c r="N62" s="485">
        <v>17.532259620491399</v>
      </c>
      <c r="O62" s="485">
        <v>5.3559883294223498</v>
      </c>
      <c r="P62" s="412"/>
      <c r="W62" s="308"/>
      <c r="X62" s="316"/>
      <c r="Y62" s="316"/>
      <c r="Z62" s="316"/>
      <c r="AA62" s="316"/>
      <c r="AB62" s="316"/>
      <c r="AC62" s="316"/>
      <c r="AD62" s="316"/>
      <c r="AE62" s="316"/>
    </row>
    <row r="63" spans="3:31">
      <c r="C63" s="410"/>
      <c r="E63" s="310" t="s">
        <v>149</v>
      </c>
      <c r="F63" s="311"/>
      <c r="G63" s="310"/>
      <c r="H63" s="487">
        <f t="shared" ref="H63:O63" si="21">H62/H53</f>
        <v>6.6042154566744726E-2</v>
      </c>
      <c r="I63" s="487">
        <f t="shared" si="21"/>
        <v>0.10016906170752325</v>
      </c>
      <c r="J63" s="487">
        <f t="shared" si="21"/>
        <v>1.0742187499999853E-2</v>
      </c>
      <c r="K63" s="487">
        <f t="shared" si="21"/>
        <v>5.9222125306295219E-2</v>
      </c>
      <c r="L63" s="487">
        <f t="shared" si="21"/>
        <v>8.6389928397578239E-2</v>
      </c>
      <c r="M63" s="487">
        <f t="shared" si="21"/>
        <v>0.10141950931114495</v>
      </c>
      <c r="N63" s="487">
        <f t="shared" si="21"/>
        <v>6.8447526105238687E-2</v>
      </c>
      <c r="O63" s="487">
        <f t="shared" si="21"/>
        <v>2.1890663952913655E-2</v>
      </c>
      <c r="P63" s="412"/>
      <c r="W63" s="308"/>
      <c r="X63" s="316"/>
      <c r="Y63" s="316"/>
      <c r="Z63" s="316"/>
      <c r="AA63" s="316"/>
      <c r="AB63" s="316"/>
      <c r="AC63" s="316"/>
      <c r="AD63" s="316"/>
      <c r="AE63" s="316"/>
    </row>
    <row r="64" spans="3:31">
      <c r="C64" s="410"/>
      <c r="E64" s="310" t="s">
        <v>148</v>
      </c>
      <c r="F64" s="311"/>
      <c r="G64" s="310"/>
      <c r="H64" s="397"/>
      <c r="I64" s="487">
        <f t="shared" ref="I64:O64" si="22">(I62-H62)/H62</f>
        <v>0.68085106382978722</v>
      </c>
      <c r="J64" s="487">
        <f t="shared" si="22"/>
        <v>-0.90717299578059196</v>
      </c>
      <c r="K64" s="487">
        <f t="shared" si="22"/>
        <v>5.093887969557402</v>
      </c>
      <c r="L64" s="487">
        <f t="shared" si="22"/>
        <v>0.5916101325756411</v>
      </c>
      <c r="M64" s="487">
        <f t="shared" si="22"/>
        <v>0.2481779637248229</v>
      </c>
      <c r="N64" s="487">
        <f t="shared" si="22"/>
        <v>-0.34172472952885047</v>
      </c>
      <c r="O64" s="487">
        <f t="shared" si="22"/>
        <v>-0.69450667253624498</v>
      </c>
      <c r="P64" s="412"/>
      <c r="W64" s="308"/>
      <c r="X64" s="316"/>
      <c r="Y64" s="316"/>
      <c r="Z64" s="316"/>
      <c r="AA64" s="316"/>
      <c r="AB64" s="316"/>
      <c r="AC64" s="316"/>
      <c r="AD64" s="316"/>
      <c r="AE64" s="316"/>
    </row>
    <row r="65" spans="2:31" ht="3.75" customHeight="1">
      <c r="C65" s="414"/>
      <c r="D65" s="415"/>
      <c r="E65" s="415"/>
      <c r="F65" s="415"/>
      <c r="G65" s="415"/>
      <c r="H65" s="415"/>
      <c r="I65" s="415"/>
      <c r="J65" s="415"/>
      <c r="K65" s="415"/>
      <c r="L65" s="415"/>
      <c r="M65" s="415"/>
      <c r="N65" s="415"/>
      <c r="O65" s="415"/>
      <c r="P65" s="417"/>
      <c r="X65" s="316"/>
      <c r="Y65" s="316"/>
      <c r="Z65" s="316"/>
      <c r="AA65" s="316"/>
      <c r="AB65" s="316"/>
      <c r="AC65" s="316"/>
      <c r="AD65" s="316"/>
      <c r="AE65" s="316"/>
    </row>
    <row r="66" spans="2:31" ht="3.75" customHeight="1">
      <c r="C66" s="620"/>
      <c r="D66" s="620"/>
      <c r="E66" s="620"/>
      <c r="F66" s="620"/>
      <c r="G66" s="620"/>
      <c r="H66" s="620"/>
      <c r="I66" s="620"/>
      <c r="J66" s="620"/>
      <c r="K66" s="620"/>
      <c r="L66" s="620"/>
      <c r="M66" s="620"/>
      <c r="N66" s="620"/>
      <c r="O66" s="620"/>
      <c r="P66" s="620"/>
      <c r="X66" s="316"/>
      <c r="Y66" s="316"/>
      <c r="Z66" s="316"/>
      <c r="AA66" s="316"/>
      <c r="AB66" s="316"/>
      <c r="AC66" s="316"/>
      <c r="AD66" s="316"/>
      <c r="AE66" s="316"/>
    </row>
    <row r="67" spans="2:31" ht="12" customHeight="1">
      <c r="B67" s="303"/>
      <c r="C67" s="303"/>
      <c r="D67" s="303"/>
      <c r="E67" s="303"/>
      <c r="F67" s="303"/>
      <c r="G67" s="303"/>
      <c r="H67" s="303"/>
      <c r="I67" s="303"/>
      <c r="J67" s="303"/>
      <c r="K67" s="303"/>
      <c r="L67" s="303"/>
      <c r="M67" s="303"/>
      <c r="N67" s="303"/>
      <c r="O67" s="303"/>
      <c r="P67" s="303"/>
      <c r="Q67" s="303"/>
      <c r="X67" s="316"/>
      <c r="Y67" s="316"/>
      <c r="Z67" s="316"/>
      <c r="AA67" s="316"/>
      <c r="AB67" s="316"/>
      <c r="AC67" s="316"/>
      <c r="AD67" s="316"/>
      <c r="AE67" s="316"/>
    </row>
  </sheetData>
  <printOptions horizontalCentered="1"/>
  <pageMargins left="0.11811023622047245" right="0.11811023622047245" top="0.11811023622047245" bottom="0.11811023622047245" header="0.11811023622047245" footer="0.11811023622047245"/>
  <pageSetup scale="90" orientation="landscape" horizontalDpi="300" verticalDpi="300" r:id="rId1"/>
  <headerFooter alignWithMargins="0">
    <oddFooter>&amp;L&amp;F&amp;C&amp;P of &amp;N&amp;R&amp;D</oddFooter>
  </headerFooter>
  <legacy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lineWeight="1" displayEmptyCellsAs="gap" high="1" low="1" xr2:uid="{4924D4C9-984C-4594-998A-20C6D0FE1C6A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Summary!H62:O62</xm:f>
              <xm:sqref>F62</xm:sqref>
            </x14:sparkline>
          </x14:sparklines>
        </x14:sparklineGroup>
        <x14:sparklineGroup manualMax="0" manualMin="0" lineWeight="1" displayEmptyCellsAs="gap" high="1" low="1" xr2:uid="{EDAF874D-F657-491B-9B83-DF36A749AF6C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Summary!H57:O57</xm:f>
              <xm:sqref>F57</xm:sqref>
            </x14:sparkline>
          </x14:sparklines>
        </x14:sparklineGroup>
        <x14:sparklineGroup manualMax="0" manualMin="0" lineWeight="1" displayEmptyCellsAs="gap" high="1" low="1" xr2:uid="{210DCF42-6BB4-4817-B593-1DB3DE3EEC14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Summary!H53:O53</xm:f>
              <xm:sqref>F53</xm:sqref>
            </x14:sparkline>
          </x14:sparklines>
        </x14:sparklineGroup>
        <x14:sparklineGroup manualMax="0" manualMin="0" lineWeight="1" displayEmptyCellsAs="gap" high="1" low="1" xr2:uid="{AD712293-37A1-4BBB-9B0B-D14D90E896D3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Summary!H42:O42</xm:f>
              <xm:sqref>F42</xm:sqref>
            </x14:sparkline>
          </x14:sparklines>
        </x14:sparklineGroup>
        <x14:sparklineGroup manualMax="0" manualMin="0" lineWeight="1" displayEmptyCellsAs="gap" high="1" low="1" xr2:uid="{64F1AC68-22C1-494C-8DB9-8B7DE5149FDB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Summary!H37:O37</xm:f>
              <xm:sqref>F37</xm:sqref>
            </x14:sparkline>
          </x14:sparklines>
        </x14:sparklineGroup>
        <x14:sparklineGroup manualMax="0" manualMin="0" lineWeight="1" displayEmptyCellsAs="gap" high="1" low="1" xr2:uid="{922AC61D-B8DA-48C6-B9FA-F462165B173B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Summary!H33:O33</xm:f>
              <xm:sqref>F33</xm:sqref>
            </x14:sparkline>
          </x14:sparklines>
        </x14:sparklineGroup>
        <x14:sparklineGroup manualMax="0" manualMin="0" lineWeight="1" displayEmptyCellsAs="gap" high="1" low="1" xr2:uid="{7C576C4A-CC28-42C3-BB62-0E794D368835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Summary!H21:O21</xm:f>
              <xm:sqref>F21</xm:sqref>
            </x14:sparkline>
          </x14:sparklines>
        </x14:sparklineGroup>
        <x14:sparklineGroup manualMax="0" manualMin="0" lineWeight="1" displayEmptyCellsAs="gap" high="1" low="1" xr2:uid="{B52FA5C1-8ABD-4858-952B-1FE363D8F282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Summary!H12:O12</xm:f>
              <xm:sqref>F12</xm:sqref>
            </x14:sparkline>
          </x14:sparklines>
        </x14:sparklineGroup>
        <x14:sparklineGroup manualMax="0" manualMin="0" lineWeight="1" displayEmptyCellsAs="gap" high="1" low="1" xr2:uid="{6432E141-2854-439F-993C-6CC4FD658F77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Summary!H16:O16</xm:f>
              <xm:sqref>F16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B1:Q78"/>
  <sheetViews>
    <sheetView showGridLines="0" topLeftCell="A2" zoomScaleNormal="100" zoomScaleSheetLayoutView="80" workbookViewId="0">
      <selection activeCell="N2" sqref="B2:N2"/>
    </sheetView>
  </sheetViews>
  <sheetFormatPr defaultColWidth="8.85546875" defaultRowHeight="12.75"/>
  <cols>
    <col min="1" max="1" width="2.5703125" customWidth="1"/>
    <col min="2" max="2" width="5.5703125" customWidth="1"/>
    <col min="3" max="3" width="2.140625" customWidth="1"/>
    <col min="4" max="4" width="13.42578125" customWidth="1"/>
    <col min="5" max="14" width="10.42578125" customWidth="1"/>
    <col min="15" max="15" width="5.5703125" customWidth="1"/>
  </cols>
  <sheetData>
    <row r="1" spans="2:17" s="12" customFormat="1" ht="42" customHeight="1">
      <c r="B1" s="457" t="str">
        <f>Summary!B1</f>
        <v>Blu Containers</v>
      </c>
      <c r="C1" s="455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6"/>
      <c r="O1" s="456"/>
    </row>
    <row r="2" spans="2:17" ht="18.75" customHeight="1">
      <c r="B2" s="453" t="s">
        <v>106</v>
      </c>
      <c r="C2" s="453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</row>
    <row r="3" spans="2:17" ht="3" customHeight="1" thickBot="1">
      <c r="B3" s="368"/>
      <c r="C3" s="368"/>
      <c r="D3" s="369"/>
      <c r="E3" s="369"/>
      <c r="F3" s="369"/>
      <c r="G3" s="369"/>
      <c r="H3" s="369"/>
      <c r="I3" s="369"/>
      <c r="J3" s="369"/>
      <c r="K3" s="369"/>
      <c r="L3" s="369"/>
      <c r="M3" s="369"/>
      <c r="N3" s="369"/>
      <c r="O3" s="369"/>
    </row>
    <row r="4" spans="2:17" ht="12" customHeight="1"/>
    <row r="5" spans="2:17" ht="15.95" customHeight="1">
      <c r="C5" s="431" t="s">
        <v>80</v>
      </c>
      <c r="D5" s="431"/>
      <c r="E5" s="432"/>
      <c r="F5" s="432"/>
      <c r="G5" s="432"/>
      <c r="H5" s="433"/>
      <c r="J5" s="431" t="s">
        <v>118</v>
      </c>
      <c r="K5" s="432"/>
      <c r="L5" s="432"/>
      <c r="M5" s="432"/>
      <c r="N5" s="433"/>
    </row>
    <row r="6" spans="2:17" ht="3" customHeight="1">
      <c r="C6" s="384"/>
      <c r="D6" s="385"/>
      <c r="E6" s="385"/>
      <c r="F6" s="385"/>
      <c r="G6" s="385"/>
      <c r="H6" s="386"/>
      <c r="J6" s="384"/>
      <c r="K6" s="385"/>
      <c r="L6" s="385"/>
      <c r="M6" s="385"/>
      <c r="N6" s="386"/>
    </row>
    <row r="7" spans="2:17" ht="3" customHeight="1">
      <c r="C7" s="392"/>
      <c r="D7" s="393"/>
      <c r="E7" s="393"/>
      <c r="F7" s="393"/>
      <c r="G7" s="393"/>
      <c r="H7" s="394"/>
      <c r="J7" s="392"/>
      <c r="K7" s="393"/>
      <c r="L7" s="393"/>
      <c r="M7" s="393"/>
      <c r="N7" s="394"/>
    </row>
    <row r="8" spans="2:17" ht="14.1" customHeight="1">
      <c r="C8" s="328" t="s">
        <v>79</v>
      </c>
      <c r="D8" s="18" t="s">
        <v>142</v>
      </c>
      <c r="G8" s="489">
        <v>2027</v>
      </c>
      <c r="H8" s="329"/>
      <c r="J8" s="334" t="str">
        <f>"Stock Price - "&amp;TEXT(Cover!E7,"dd/mm/yy")</f>
        <v>Stock Price - 23/07/26</v>
      </c>
      <c r="K8" s="6"/>
      <c r="M8" s="7"/>
      <c r="N8" s="490">
        <v>11.5</v>
      </c>
      <c r="Q8" s="8"/>
    </row>
    <row r="9" spans="2:17" ht="14.1" customHeight="1">
      <c r="C9" s="328" t="s">
        <v>79</v>
      </c>
      <c r="D9" s="9" t="s">
        <v>166</v>
      </c>
      <c r="H9" s="329"/>
      <c r="J9" s="334" t="str">
        <f>"Fully Diluted Shares O/S (MM) - Dec. 31, "&amp;G8-1</f>
        <v>Fully Diluted Shares O/S (MM) - Dec. 31, 2026</v>
      </c>
      <c r="N9" s="491">
        <v>14.8</v>
      </c>
    </row>
    <row r="10" spans="2:17" ht="14.1" customHeight="1">
      <c r="C10" s="330"/>
      <c r="D10" s="331" t="s">
        <v>128</v>
      </c>
      <c r="E10" s="332"/>
      <c r="F10" s="332"/>
      <c r="G10" s="332"/>
      <c r="H10" s="333"/>
      <c r="J10" s="335" t="s">
        <v>119</v>
      </c>
      <c r="K10" s="332"/>
      <c r="L10" s="332"/>
      <c r="M10" s="336"/>
      <c r="N10" s="492">
        <v>0.2</v>
      </c>
    </row>
    <row r="11" spans="2:17" ht="14.1" customHeight="1">
      <c r="M11" s="7"/>
      <c r="N11" s="327"/>
    </row>
    <row r="12" spans="2:17" ht="6" customHeight="1">
      <c r="M12" s="7"/>
      <c r="N12" s="327"/>
    </row>
    <row r="13" spans="2:17" s="12" customFormat="1" ht="15.95" customHeight="1">
      <c r="C13" s="431" t="s">
        <v>81</v>
      </c>
      <c r="D13" s="431"/>
      <c r="E13" s="432"/>
      <c r="F13" s="432"/>
      <c r="G13" s="432"/>
      <c r="H13" s="433"/>
      <c r="J13" s="431" t="s">
        <v>82</v>
      </c>
      <c r="K13" s="432"/>
      <c r="L13" s="432"/>
      <c r="M13" s="432"/>
      <c r="N13" s="433"/>
    </row>
    <row r="14" spans="2:17" s="12" customFormat="1" ht="3" customHeight="1">
      <c r="C14" s="384"/>
      <c r="D14" s="385"/>
      <c r="E14" s="385"/>
      <c r="F14" s="385"/>
      <c r="G14" s="385"/>
      <c r="H14" s="386"/>
      <c r="J14" s="384"/>
      <c r="K14" s="385"/>
      <c r="L14" s="385"/>
      <c r="M14" s="385"/>
      <c r="N14" s="386"/>
    </row>
    <row r="15" spans="2:17" s="12" customFormat="1" ht="3" customHeight="1">
      <c r="C15" s="392"/>
      <c r="D15" s="393"/>
      <c r="E15" s="393"/>
      <c r="F15" s="393"/>
      <c r="G15" s="393"/>
      <c r="H15" s="394"/>
      <c r="J15" s="392"/>
      <c r="K15" s="393"/>
      <c r="L15" s="393"/>
      <c r="M15" s="393"/>
      <c r="N15" s="394"/>
    </row>
    <row r="16" spans="2:17" ht="14.1" customHeight="1">
      <c r="C16" s="328" t="s">
        <v>79</v>
      </c>
      <c r="D16" s="9" t="s">
        <v>78</v>
      </c>
      <c r="H16" s="329"/>
      <c r="J16" s="334"/>
      <c r="N16" s="329"/>
    </row>
    <row r="17" spans="3:14" ht="14.1" customHeight="1">
      <c r="C17" s="338" t="s">
        <v>0</v>
      </c>
      <c r="D17" s="13"/>
      <c r="E17" s="14" t="str">
        <f>Scenarios!H6&amp;" - "&amp;Scenarios!L6</f>
        <v>2027 - 2031</v>
      </c>
      <c r="F17" s="15"/>
      <c r="G17" s="14"/>
      <c r="H17" s="339"/>
      <c r="J17" s="337" t="s">
        <v>184</v>
      </c>
      <c r="N17" s="493">
        <v>420</v>
      </c>
    </row>
    <row r="18" spans="3:14" s="16" customFormat="1" ht="15">
      <c r="C18" s="340" t="s">
        <v>58</v>
      </c>
      <c r="D18"/>
      <c r="E18" s="3" t="s">
        <v>138</v>
      </c>
      <c r="F18" s="3"/>
      <c r="G18" s="3"/>
      <c r="H18" s="341"/>
      <c r="I18" s="17"/>
      <c r="J18" s="334"/>
      <c r="K18"/>
      <c r="L18"/>
      <c r="M18"/>
      <c r="N18" s="329"/>
    </row>
    <row r="19" spans="3:14" ht="14.1" customHeight="1">
      <c r="C19" s="340" t="s">
        <v>59</v>
      </c>
      <c r="F19" s="494">
        <v>0.04</v>
      </c>
      <c r="G19" s="494"/>
      <c r="H19" s="341" t="s">
        <v>139</v>
      </c>
      <c r="I19" s="18"/>
      <c r="J19" s="334"/>
      <c r="N19" s="329"/>
    </row>
    <row r="20" spans="3:14" ht="15.6" customHeight="1">
      <c r="C20" s="342" t="s">
        <v>60</v>
      </c>
      <c r="D20" s="332"/>
      <c r="E20" s="332"/>
      <c r="F20" s="495">
        <v>-0.04</v>
      </c>
      <c r="G20" s="605"/>
      <c r="H20" s="343" t="s">
        <v>139</v>
      </c>
      <c r="I20" s="18"/>
      <c r="J20" s="335"/>
      <c r="K20" s="332"/>
      <c r="L20" s="332"/>
      <c r="M20" s="332"/>
      <c r="N20" s="333"/>
    </row>
    <row r="21" spans="3:14" ht="14.1" customHeight="1">
      <c r="I21" s="18"/>
    </row>
    <row r="22" spans="3:14" ht="6" customHeight="1">
      <c r="I22" s="18"/>
    </row>
    <row r="23" spans="3:14" s="12" customFormat="1" ht="15.95" customHeight="1">
      <c r="C23" s="431" t="s">
        <v>244</v>
      </c>
      <c r="D23" s="432"/>
      <c r="E23" s="432"/>
      <c r="F23" s="432"/>
      <c r="G23" s="433"/>
      <c r="H23" s="433"/>
      <c r="J23" s="431" t="s">
        <v>181</v>
      </c>
      <c r="K23" s="432"/>
      <c r="L23" s="432"/>
      <c r="M23" s="432"/>
      <c r="N23" s="433"/>
    </row>
    <row r="24" spans="3:14" ht="3" customHeight="1">
      <c r="C24" s="384"/>
      <c r="D24" s="385"/>
      <c r="E24" s="385"/>
      <c r="F24" s="385"/>
      <c r="G24" s="385"/>
      <c r="H24" s="386"/>
      <c r="J24" s="384"/>
      <c r="K24" s="385"/>
      <c r="L24" s="385"/>
      <c r="M24" s="385"/>
      <c r="N24" s="386"/>
    </row>
    <row r="25" spans="3:14" ht="3" customHeight="1">
      <c r="C25" s="392"/>
      <c r="D25" s="393"/>
      <c r="E25" s="393"/>
      <c r="F25" s="393"/>
      <c r="G25" s="393"/>
      <c r="H25" s="394"/>
      <c r="J25" s="392"/>
      <c r="K25" s="393"/>
      <c r="L25" s="393"/>
      <c r="M25" s="393"/>
      <c r="N25" s="394"/>
    </row>
    <row r="26" spans="3:14" ht="15.6" customHeight="1">
      <c r="C26" s="338" t="s">
        <v>84</v>
      </c>
      <c r="D26" s="9"/>
      <c r="E26" s="20">
        <f>G8</f>
        <v>2027</v>
      </c>
      <c r="G26" s="20" t="s">
        <v>86</v>
      </c>
      <c r="H26" s="329"/>
      <c r="J26" s="346"/>
      <c r="N26" s="329"/>
    </row>
    <row r="27" spans="3:14" ht="14.1" customHeight="1">
      <c r="C27" s="344" t="s">
        <v>85</v>
      </c>
      <c r="D27" s="9"/>
      <c r="E27" s="496">
        <v>226</v>
      </c>
      <c r="F27" t="s">
        <v>143</v>
      </c>
      <c r="G27" t="s">
        <v>87</v>
      </c>
      <c r="H27" s="329"/>
      <c r="J27" s="347" t="s">
        <v>190</v>
      </c>
      <c r="M27" s="22"/>
      <c r="N27" s="497">
        <v>0.01</v>
      </c>
    </row>
    <row r="28" spans="3:14" ht="14.1" customHeight="1">
      <c r="C28" s="344" t="s">
        <v>151</v>
      </c>
      <c r="D28" s="9"/>
      <c r="E28" s="496">
        <v>66.2</v>
      </c>
      <c r="F28" t="s">
        <v>143</v>
      </c>
      <c r="G28" t="s">
        <v>87</v>
      </c>
      <c r="H28" s="329"/>
      <c r="J28" s="348" t="s">
        <v>187</v>
      </c>
      <c r="N28" s="497">
        <v>0.06</v>
      </c>
    </row>
    <row r="29" spans="3:14" ht="14.1" customHeight="1">
      <c r="C29" s="344" t="s">
        <v>152</v>
      </c>
      <c r="D29" s="18"/>
      <c r="E29" s="496">
        <v>23.5</v>
      </c>
      <c r="F29" t="s">
        <v>144</v>
      </c>
      <c r="G29" t="s">
        <v>189</v>
      </c>
      <c r="H29" s="329"/>
      <c r="J29" s="348" t="s">
        <v>188</v>
      </c>
      <c r="N29" s="497">
        <v>0.06</v>
      </c>
    </row>
    <row r="30" spans="3:14" ht="15.6" customHeight="1">
      <c r="C30" s="344" t="s">
        <v>53</v>
      </c>
      <c r="D30" s="18"/>
      <c r="E30" s="496">
        <v>43.5</v>
      </c>
      <c r="F30" t="s">
        <v>144</v>
      </c>
      <c r="G30" t="s">
        <v>189</v>
      </c>
      <c r="H30" s="329"/>
      <c r="J30" s="334"/>
      <c r="N30" s="329"/>
    </row>
    <row r="31" spans="3:14" ht="14.1" customHeight="1">
      <c r="C31" s="344" t="s">
        <v>10</v>
      </c>
      <c r="D31" s="18"/>
      <c r="E31" s="496">
        <v>2</v>
      </c>
      <c r="F31" t="s">
        <v>144</v>
      </c>
      <c r="G31" t="s">
        <v>189</v>
      </c>
      <c r="H31" s="329"/>
      <c r="J31" s="334"/>
      <c r="N31" s="329"/>
    </row>
    <row r="32" spans="3:14" ht="15.6" customHeight="1">
      <c r="C32" s="345" t="s">
        <v>88</v>
      </c>
      <c r="D32" s="331"/>
      <c r="E32" s="498">
        <v>3.9</v>
      </c>
      <c r="F32" s="332" t="s">
        <v>144</v>
      </c>
      <c r="G32" s="332" t="s">
        <v>189</v>
      </c>
      <c r="H32" s="333"/>
      <c r="J32" s="335"/>
      <c r="K32" s="332"/>
      <c r="L32" s="332"/>
      <c r="M32" s="332"/>
      <c r="N32" s="333"/>
    </row>
    <row r="33" spans="2:17" ht="14.1" customHeight="1"/>
    <row r="34" spans="2:17" ht="6" customHeight="1"/>
    <row r="35" spans="2:17" s="12" customFormat="1" ht="15.95" customHeight="1">
      <c r="C35" s="431" t="s">
        <v>89</v>
      </c>
      <c r="D35" s="450"/>
      <c r="E35" s="450"/>
      <c r="F35" s="450"/>
      <c r="G35" s="450"/>
      <c r="H35" s="451"/>
      <c r="J35" s="431" t="s">
        <v>83</v>
      </c>
      <c r="K35" s="450"/>
      <c r="L35" s="450"/>
      <c r="M35" s="450"/>
      <c r="N35" s="451"/>
    </row>
    <row r="36" spans="2:17" ht="3" customHeight="1">
      <c r="C36" s="384"/>
      <c r="D36" s="385"/>
      <c r="E36" s="385"/>
      <c r="F36" s="385"/>
      <c r="G36" s="385"/>
      <c r="H36" s="386"/>
      <c r="J36" s="384"/>
      <c r="K36" s="385"/>
      <c r="L36" s="385"/>
      <c r="M36" s="385"/>
      <c r="N36" s="386"/>
    </row>
    <row r="37" spans="2:17" ht="3" customHeight="1">
      <c r="C37" s="392"/>
      <c r="D37" s="393"/>
      <c r="E37" s="393"/>
      <c r="F37" s="393"/>
      <c r="G37" s="393"/>
      <c r="H37" s="394"/>
      <c r="J37" s="392"/>
      <c r="K37" s="393"/>
      <c r="L37" s="393"/>
      <c r="M37" s="393"/>
      <c r="N37" s="394"/>
    </row>
    <row r="38" spans="2:17" ht="14.1" customHeight="1">
      <c r="C38" s="328" t="s">
        <v>79</v>
      </c>
      <c r="D38" s="9" t="s">
        <v>153</v>
      </c>
      <c r="H38" s="452" t="s">
        <v>90</v>
      </c>
      <c r="J38" s="334"/>
      <c r="N38" s="329"/>
    </row>
    <row r="39" spans="2:17" ht="14.1" customHeight="1">
      <c r="C39" s="328" t="s">
        <v>79</v>
      </c>
      <c r="D39" s="23" t="s">
        <v>154</v>
      </c>
      <c r="H39" s="499">
        <v>25</v>
      </c>
      <c r="J39" s="337" t="s">
        <v>185</v>
      </c>
      <c r="N39" s="500">
        <v>0.35</v>
      </c>
    </row>
    <row r="40" spans="2:17" ht="14.1" customHeight="1">
      <c r="C40" s="330" t="s">
        <v>79</v>
      </c>
      <c r="D40" s="351" t="s">
        <v>155</v>
      </c>
      <c r="E40" s="332"/>
      <c r="F40" s="332"/>
      <c r="G40" s="332"/>
      <c r="H40" s="501">
        <v>30</v>
      </c>
      <c r="J40" s="349" t="s">
        <v>186</v>
      </c>
      <c r="K40" s="332"/>
      <c r="L40" s="332"/>
      <c r="M40" s="332"/>
      <c r="N40" s="350"/>
    </row>
    <row r="41" spans="2:17" ht="15" customHeight="1">
      <c r="B41" s="10"/>
      <c r="C41" s="10"/>
      <c r="D41" s="24"/>
      <c r="E41" s="19"/>
      <c r="F41" s="19"/>
      <c r="G41" s="19"/>
      <c r="H41" s="19"/>
      <c r="I41" s="10"/>
      <c r="J41" s="10"/>
      <c r="K41" s="10"/>
      <c r="L41" s="10"/>
      <c r="M41" s="10"/>
      <c r="N41" s="10"/>
      <c r="O41" s="10"/>
    </row>
    <row r="42" spans="2:17" ht="14.1" customHeight="1">
      <c r="C42" s="25"/>
      <c r="D42" s="23"/>
      <c r="H42" s="26"/>
    </row>
    <row r="43" spans="2:17" ht="14.1" customHeight="1">
      <c r="C43" s="25"/>
      <c r="J43" s="27"/>
    </row>
    <row r="44" spans="2:17" s="12" customFormat="1" ht="42" customHeight="1">
      <c r="B44" s="457" t="str">
        <f>Summary!B1</f>
        <v>Blu Containers</v>
      </c>
      <c r="C44" s="457"/>
      <c r="D44" s="457"/>
      <c r="E44" s="457"/>
      <c r="F44" s="457"/>
      <c r="G44" s="457"/>
      <c r="H44" s="457"/>
      <c r="I44" s="457"/>
      <c r="J44" s="457"/>
      <c r="K44" s="457"/>
      <c r="L44" s="457"/>
      <c r="M44" s="457"/>
      <c r="N44" s="457"/>
      <c r="O44" s="457"/>
    </row>
    <row r="45" spans="2:17" ht="18.75" customHeight="1">
      <c r="B45" s="453" t="s">
        <v>106</v>
      </c>
      <c r="C45" s="453"/>
      <c r="D45" s="453"/>
      <c r="E45" s="453"/>
      <c r="F45" s="453"/>
      <c r="G45" s="453"/>
      <c r="H45" s="453"/>
      <c r="I45" s="453"/>
      <c r="J45" s="453"/>
      <c r="K45" s="453"/>
      <c r="L45" s="453"/>
      <c r="M45" s="453"/>
      <c r="N45" s="453"/>
      <c r="O45" s="453"/>
    </row>
    <row r="46" spans="2:17" ht="3" customHeight="1" thickBot="1">
      <c r="B46" s="368"/>
      <c r="C46" s="368"/>
      <c r="D46" s="369"/>
      <c r="E46" s="369"/>
      <c r="F46" s="369"/>
      <c r="G46" s="369"/>
      <c r="H46" s="369"/>
      <c r="I46" s="369"/>
      <c r="J46" s="369"/>
      <c r="K46" s="369"/>
      <c r="L46" s="369"/>
      <c r="M46" s="369"/>
      <c r="N46" s="369"/>
      <c r="O46" s="369"/>
    </row>
    <row r="47" spans="2:17" ht="12" customHeight="1">
      <c r="C47" s="25"/>
      <c r="J47" s="27"/>
    </row>
    <row r="48" spans="2:17" s="12" customFormat="1" ht="15.95" customHeight="1">
      <c r="C48" s="377" t="s">
        <v>156</v>
      </c>
      <c r="D48" s="378"/>
      <c r="E48" s="378"/>
      <c r="F48" s="378"/>
      <c r="G48" s="378"/>
      <c r="H48" s="378"/>
      <c r="I48" s="378"/>
      <c r="J48" s="387">
        <f>G8</f>
        <v>2027</v>
      </c>
      <c r="K48" s="387">
        <f>J48+1</f>
        <v>2028</v>
      </c>
      <c r="L48" s="387">
        <f>K48+1</f>
        <v>2029</v>
      </c>
      <c r="M48" s="387">
        <f>L48+1</f>
        <v>2030</v>
      </c>
      <c r="N48" s="379">
        <f>M48+1</f>
        <v>2031</v>
      </c>
      <c r="Q48" s="352"/>
    </row>
    <row r="49" spans="3:17" s="12" customFormat="1" ht="3" customHeight="1">
      <c r="C49" s="384"/>
      <c r="D49" s="385"/>
      <c r="E49" s="385"/>
      <c r="F49" s="385"/>
      <c r="G49" s="385"/>
      <c r="H49" s="386"/>
      <c r="I49" s="386"/>
      <c r="J49" s="386"/>
      <c r="K49" s="386"/>
      <c r="L49" s="386"/>
      <c r="M49" s="386"/>
      <c r="N49" s="386"/>
      <c r="Q49" s="352"/>
    </row>
    <row r="50" spans="3:17" s="12" customFormat="1" ht="3" customHeight="1">
      <c r="C50" s="392"/>
      <c r="D50" s="393"/>
      <c r="E50" s="393"/>
      <c r="F50" s="393"/>
      <c r="G50" s="393"/>
      <c r="H50" s="393"/>
      <c r="I50" s="393"/>
      <c r="J50" s="393"/>
      <c r="K50" s="393"/>
      <c r="L50" s="393"/>
      <c r="M50" s="393"/>
      <c r="N50" s="394"/>
      <c r="Q50" s="352"/>
    </row>
    <row r="51" spans="3:17" ht="8.1" customHeight="1">
      <c r="C51" s="334"/>
      <c r="L51" s="27"/>
      <c r="N51" s="329"/>
    </row>
    <row r="52" spans="3:17" ht="14.1" customHeight="1">
      <c r="C52" s="353" t="s">
        <v>37</v>
      </c>
      <c r="J52" s="30"/>
      <c r="K52" s="30"/>
      <c r="L52" s="30"/>
      <c r="M52" s="30"/>
      <c r="N52" s="425"/>
      <c r="Q52" s="28"/>
    </row>
    <row r="53" spans="3:17" ht="14.1" customHeight="1">
      <c r="C53" s="353"/>
      <c r="D53" t="s">
        <v>161</v>
      </c>
      <c r="G53" t="s">
        <v>144</v>
      </c>
      <c r="J53" s="30">
        <v>0</v>
      </c>
      <c r="K53" s="30">
        <v>0</v>
      </c>
      <c r="L53" s="30">
        <v>0</v>
      </c>
      <c r="M53" s="30">
        <v>0</v>
      </c>
      <c r="N53" s="425">
        <v>0</v>
      </c>
    </row>
    <row r="54" spans="3:17" ht="6" customHeight="1">
      <c r="C54" s="334"/>
      <c r="L54" s="27"/>
      <c r="N54" s="426"/>
    </row>
    <row r="55" spans="3:17" ht="14.1" customHeight="1">
      <c r="C55" s="353" t="s">
        <v>47</v>
      </c>
      <c r="J55" s="30"/>
      <c r="K55" s="30"/>
      <c r="L55" s="30"/>
      <c r="M55" s="30"/>
      <c r="N55" s="425"/>
      <c r="Q55" s="28"/>
    </row>
    <row r="56" spans="3:17" ht="14.1" customHeight="1">
      <c r="C56" s="353"/>
      <c r="D56" t="s">
        <v>162</v>
      </c>
      <c r="G56" t="s">
        <v>144</v>
      </c>
      <c r="J56" s="30">
        <v>0</v>
      </c>
      <c r="K56" s="30">
        <v>0</v>
      </c>
      <c r="L56" s="30">
        <v>0</v>
      </c>
      <c r="M56" s="30">
        <v>0</v>
      </c>
      <c r="N56" s="425">
        <v>0</v>
      </c>
    </row>
    <row r="57" spans="3:17" ht="6" customHeight="1">
      <c r="C57" s="334"/>
      <c r="L57" s="27"/>
      <c r="N57" s="426"/>
    </row>
    <row r="58" spans="3:17" ht="14.1" customHeight="1">
      <c r="C58" s="353" t="s">
        <v>100</v>
      </c>
      <c r="G58" t="s">
        <v>144</v>
      </c>
      <c r="J58" s="30">
        <v>16</v>
      </c>
      <c r="K58" s="30">
        <v>17</v>
      </c>
      <c r="L58" s="30">
        <v>17.3</v>
      </c>
      <c r="M58" s="30">
        <v>17.5</v>
      </c>
      <c r="N58" s="425">
        <v>18</v>
      </c>
      <c r="Q58" s="28"/>
    </row>
    <row r="59" spans="3:17" ht="6" customHeight="1">
      <c r="C59" s="334"/>
      <c r="L59" s="27"/>
      <c r="N59" s="426"/>
    </row>
    <row r="60" spans="3:17" ht="14.25" customHeight="1">
      <c r="C60" s="353" t="s">
        <v>172</v>
      </c>
      <c r="L60" s="27"/>
      <c r="N60" s="426"/>
    </row>
    <row r="61" spans="3:17" ht="14.25" customHeight="1">
      <c r="C61" s="334"/>
      <c r="D61" t="s">
        <v>175</v>
      </c>
      <c r="G61" t="s">
        <v>144</v>
      </c>
      <c r="J61" s="502">
        <v>5</v>
      </c>
      <c r="K61" s="502">
        <v>5</v>
      </c>
      <c r="L61" s="502">
        <v>5</v>
      </c>
      <c r="M61" s="502">
        <v>5</v>
      </c>
      <c r="N61" s="503">
        <v>5</v>
      </c>
    </row>
    <row r="62" spans="3:17" ht="6" customHeight="1">
      <c r="C62" s="334"/>
      <c r="L62" s="27"/>
      <c r="N62" s="426"/>
    </row>
    <row r="63" spans="3:17" ht="14.25" customHeight="1">
      <c r="C63" s="353" t="s">
        <v>157</v>
      </c>
      <c r="L63" s="27"/>
      <c r="N63" s="426"/>
    </row>
    <row r="64" spans="3:17" ht="14.1" customHeight="1">
      <c r="C64" s="334"/>
      <c r="D64" t="s">
        <v>14</v>
      </c>
      <c r="G64" t="s">
        <v>158</v>
      </c>
      <c r="J64" s="504">
        <v>48</v>
      </c>
      <c r="K64" s="504">
        <v>44</v>
      </c>
      <c r="L64" s="504">
        <v>40</v>
      </c>
      <c r="M64" s="504">
        <v>40</v>
      </c>
      <c r="N64" s="505">
        <v>40</v>
      </c>
    </row>
    <row r="65" spans="2:15" ht="14.1" customHeight="1">
      <c r="C65" s="346"/>
      <c r="D65" t="s">
        <v>28</v>
      </c>
      <c r="G65" t="s">
        <v>158</v>
      </c>
      <c r="J65" s="504">
        <v>70</v>
      </c>
      <c r="K65" s="504">
        <v>65</v>
      </c>
      <c r="L65" s="504">
        <v>60</v>
      </c>
      <c r="M65" s="504">
        <v>60</v>
      </c>
      <c r="N65" s="506">
        <v>55</v>
      </c>
    </row>
    <row r="66" spans="2:15" ht="14.1" customHeight="1">
      <c r="C66" s="346"/>
      <c r="D66" t="s">
        <v>163</v>
      </c>
      <c r="G66" t="s">
        <v>158</v>
      </c>
      <c r="J66" s="504">
        <v>30</v>
      </c>
      <c r="K66" s="504">
        <v>30</v>
      </c>
      <c r="L66" s="504">
        <v>30</v>
      </c>
      <c r="M66" s="504">
        <v>30</v>
      </c>
      <c r="N66" s="505">
        <v>30</v>
      </c>
    </row>
    <row r="67" spans="2:15" ht="14.1" customHeight="1">
      <c r="C67" s="346"/>
      <c r="D67" t="s">
        <v>164</v>
      </c>
      <c r="G67" t="s">
        <v>158</v>
      </c>
      <c r="J67" s="504">
        <v>3</v>
      </c>
      <c r="K67" s="504">
        <v>3</v>
      </c>
      <c r="L67" s="504">
        <v>3</v>
      </c>
      <c r="M67" s="504">
        <v>3</v>
      </c>
      <c r="N67" s="505">
        <v>3</v>
      </c>
    </row>
    <row r="68" spans="2:15" ht="14.1" customHeight="1">
      <c r="C68" s="328"/>
      <c r="D68" t="s">
        <v>20</v>
      </c>
      <c r="G68" t="s">
        <v>158</v>
      </c>
      <c r="J68" s="504">
        <v>40</v>
      </c>
      <c r="K68" s="504">
        <v>40</v>
      </c>
      <c r="L68" s="504">
        <v>40</v>
      </c>
      <c r="M68" s="504">
        <v>40</v>
      </c>
      <c r="N68" s="506">
        <v>40</v>
      </c>
    </row>
    <row r="69" spans="2:15" ht="14.1" customHeight="1">
      <c r="C69" s="328"/>
      <c r="D69" t="s">
        <v>165</v>
      </c>
      <c r="G69" t="s">
        <v>158</v>
      </c>
      <c r="J69" s="504">
        <v>10</v>
      </c>
      <c r="K69" s="504">
        <v>10</v>
      </c>
      <c r="L69" s="504">
        <v>10</v>
      </c>
      <c r="M69" s="504">
        <v>10</v>
      </c>
      <c r="N69" s="505">
        <v>10</v>
      </c>
    </row>
    <row r="70" spans="2:15" ht="6" customHeight="1">
      <c r="C70" s="328"/>
      <c r="N70" s="423"/>
    </row>
    <row r="71" spans="2:15" ht="14.1" customHeight="1">
      <c r="C71" s="354" t="s">
        <v>159</v>
      </c>
      <c r="N71" s="423"/>
    </row>
    <row r="72" spans="2:15" ht="14.1" customHeight="1">
      <c r="C72" s="344"/>
      <c r="D72" t="s">
        <v>183</v>
      </c>
      <c r="G72" t="s">
        <v>144</v>
      </c>
      <c r="J72" s="502">
        <v>-25</v>
      </c>
      <c r="K72" s="502">
        <v>-25</v>
      </c>
      <c r="L72" s="502">
        <v>-25</v>
      </c>
      <c r="M72" s="502">
        <v>-25</v>
      </c>
      <c r="N72" s="503">
        <v>-25</v>
      </c>
    </row>
    <row r="73" spans="2:15" ht="14.1" customHeight="1">
      <c r="C73" s="328"/>
      <c r="D73" t="s">
        <v>120</v>
      </c>
      <c r="G73" t="s">
        <v>144</v>
      </c>
      <c r="J73" s="30">
        <v>0</v>
      </c>
      <c r="K73" s="30">
        <v>0</v>
      </c>
      <c r="L73" s="30">
        <v>0</v>
      </c>
      <c r="M73" s="30">
        <v>0</v>
      </c>
      <c r="N73" s="425">
        <v>0</v>
      </c>
    </row>
    <row r="74" spans="2:15" ht="12" customHeight="1">
      <c r="C74" s="330"/>
      <c r="D74" s="332"/>
      <c r="E74" s="332"/>
      <c r="F74" s="332"/>
      <c r="G74" s="332"/>
      <c r="H74" s="332"/>
      <c r="I74" s="332"/>
      <c r="J74" s="355"/>
      <c r="K74" s="355"/>
      <c r="L74" s="355"/>
      <c r="M74" s="355"/>
      <c r="N74" s="424"/>
    </row>
    <row r="75" spans="2:15" ht="9" customHeight="1">
      <c r="B75" s="10"/>
      <c r="C75" s="10"/>
      <c r="D75" s="24"/>
      <c r="E75" s="19"/>
      <c r="F75" s="19"/>
      <c r="G75" s="19"/>
      <c r="H75" s="19"/>
      <c r="I75" s="10"/>
      <c r="J75" s="10"/>
      <c r="K75" s="10"/>
      <c r="L75" s="10"/>
      <c r="M75" s="10"/>
      <c r="N75" s="10"/>
      <c r="O75" s="10"/>
    </row>
    <row r="76" spans="2:15" ht="12.75" customHeight="1">
      <c r="D76" s="31"/>
      <c r="E76" s="3"/>
      <c r="F76" s="3"/>
      <c r="G76" s="3"/>
      <c r="H76" s="3"/>
    </row>
    <row r="77" spans="2:15">
      <c r="D77" s="27"/>
    </row>
    <row r="78" spans="2:15">
      <c r="D78" s="27"/>
    </row>
  </sheetData>
  <sheetProtection formatCells="0" formatColumns="0" formatRows="0" insertColumns="0" insertRows="0"/>
  <phoneticPr fontId="0" type="noConversion"/>
  <conditionalFormatting sqref="J349:N353">
    <cfRule type="cellIs" dxfId="2" priority="1" stopIfTrue="1" operator="greaterThan">
      <formula>330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90" orientation="landscape" r:id="rId1"/>
  <headerFooter alignWithMargins="0">
    <oddFooter>&amp;L&amp;F&amp;C&amp;P of &amp;N&amp;R&amp;D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B1:O42"/>
  <sheetViews>
    <sheetView showGridLines="0" zoomScaleNormal="100" zoomScaleSheetLayoutView="100" workbookViewId="0">
      <selection activeCell="B2" sqref="B2:M2"/>
    </sheetView>
  </sheetViews>
  <sheetFormatPr defaultColWidth="10.5703125" defaultRowHeight="12.75"/>
  <cols>
    <col min="1" max="1" width="5.28515625" style="33" customWidth="1"/>
    <col min="2" max="2" width="8.5703125" style="33" customWidth="1"/>
    <col min="3" max="3" width="1.5703125" style="33" customWidth="1"/>
    <col min="4" max="4" width="18.5703125" style="33" customWidth="1"/>
    <col min="5" max="5" width="11.5703125" style="53" customWidth="1"/>
    <col min="6" max="6" width="1.5703125" style="53" customWidth="1"/>
    <col min="7" max="7" width="6.7109375" style="33" customWidth="1"/>
    <col min="8" max="12" width="12.7109375" style="33" customWidth="1"/>
    <col min="13" max="13" width="8.5703125" style="33" customWidth="1"/>
    <col min="14" max="14" width="13.5703125" style="33" customWidth="1"/>
    <col min="15" max="15" width="10.42578125" style="33" customWidth="1"/>
    <col min="16" max="19" width="13.5703125" style="33" customWidth="1"/>
    <col min="20" max="16384" width="10.5703125" style="33"/>
  </cols>
  <sheetData>
    <row r="1" spans="2:13" s="32" customFormat="1" ht="42" customHeight="1">
      <c r="B1" s="457"/>
      <c r="C1" s="457" t="str">
        <f>Assumptions!B1</f>
        <v>Blu Containers</v>
      </c>
      <c r="D1" s="457"/>
      <c r="E1" s="457"/>
      <c r="F1" s="457"/>
      <c r="G1" s="457"/>
      <c r="H1" s="457"/>
      <c r="I1" s="457"/>
      <c r="J1" s="457"/>
      <c r="K1" s="457"/>
      <c r="L1" s="457"/>
      <c r="M1" s="457"/>
    </row>
    <row r="2" spans="2:13" ht="18">
      <c r="B2" s="453"/>
      <c r="C2" s="453" t="s">
        <v>191</v>
      </c>
      <c r="D2" s="453"/>
      <c r="E2" s="453"/>
      <c r="F2" s="453"/>
      <c r="G2" s="453"/>
      <c r="H2" s="453"/>
      <c r="I2" s="453"/>
      <c r="J2" s="453"/>
      <c r="K2" s="453"/>
      <c r="L2" s="453"/>
      <c r="M2" s="453"/>
    </row>
    <row r="3" spans="2:13" ht="3" customHeight="1">
      <c r="B3" s="83"/>
      <c r="C3" s="83"/>
      <c r="D3" s="83"/>
      <c r="E3" s="84"/>
      <c r="F3" s="84"/>
      <c r="G3" s="83"/>
      <c r="H3" s="83"/>
      <c r="I3" s="83"/>
      <c r="J3" s="83"/>
      <c r="K3" s="83"/>
      <c r="L3" s="83"/>
      <c r="M3" s="83"/>
    </row>
    <row r="4" spans="2:13" ht="12.75" customHeight="1">
      <c r="D4" s="34"/>
      <c r="E4" s="35"/>
      <c r="F4" s="35"/>
      <c r="G4" s="34"/>
    </row>
    <row r="5" spans="2:13" ht="6" customHeight="1">
      <c r="C5" s="36"/>
      <c r="D5" s="37"/>
      <c r="E5" s="38"/>
      <c r="F5" s="39"/>
      <c r="H5" s="40"/>
      <c r="I5" s="40"/>
      <c r="J5" s="40"/>
      <c r="K5" s="40"/>
      <c r="L5" s="40"/>
      <c r="M5" s="593"/>
    </row>
    <row r="6" spans="2:13" ht="16.149999999999999" customHeight="1">
      <c r="C6" s="41" t="s">
        <v>98</v>
      </c>
      <c r="D6" s="42"/>
      <c r="E6" s="75">
        <v>1</v>
      </c>
      <c r="F6" s="43"/>
      <c r="G6" s="42"/>
      <c r="H6" s="361">
        <f>Assumptions!G8</f>
        <v>2027</v>
      </c>
      <c r="I6" s="361">
        <f>H6+1</f>
        <v>2028</v>
      </c>
      <c r="J6" s="361">
        <f>I6+1</f>
        <v>2029</v>
      </c>
      <c r="K6" s="361">
        <f>J6+1</f>
        <v>2030</v>
      </c>
      <c r="L6" s="361">
        <f>K6+1</f>
        <v>2031</v>
      </c>
      <c r="M6" s="361"/>
    </row>
    <row r="7" spans="2:13" ht="6" customHeight="1">
      <c r="C7" s="45"/>
      <c r="D7" s="46"/>
      <c r="E7" s="47"/>
      <c r="F7" s="48"/>
      <c r="G7" s="42"/>
      <c r="H7" s="44"/>
      <c r="I7" s="44"/>
      <c r="J7" s="49"/>
      <c r="K7" s="49"/>
      <c r="L7" s="44"/>
      <c r="M7" s="44"/>
    </row>
    <row r="8" spans="2:13">
      <c r="C8" s="42"/>
      <c r="D8" s="42"/>
      <c r="E8" s="428"/>
      <c r="F8" s="50"/>
      <c r="G8" s="42"/>
      <c r="H8" s="44"/>
      <c r="I8" s="44"/>
      <c r="J8" s="49"/>
      <c r="K8" s="49"/>
      <c r="L8" s="44"/>
      <c r="M8" s="44"/>
    </row>
    <row r="9" spans="2:13">
      <c r="C9" s="42"/>
      <c r="D9" s="42"/>
      <c r="E9" s="50"/>
      <c r="F9" s="50"/>
      <c r="G9" s="42"/>
      <c r="H9" s="44"/>
      <c r="I9" s="44"/>
      <c r="J9" s="49"/>
      <c r="K9" s="49"/>
      <c r="L9" s="44"/>
      <c r="M9" s="44"/>
    </row>
    <row r="10" spans="2:13" ht="15.75">
      <c r="B10" s="51"/>
      <c r="C10" s="52" t="s">
        <v>91</v>
      </c>
    </row>
    <row r="11" spans="2:13" ht="12.75" customHeight="1"/>
    <row r="12" spans="2:13" ht="16.149999999999999" customHeight="1">
      <c r="C12" s="54" t="s">
        <v>97</v>
      </c>
      <c r="E12" s="55"/>
      <c r="F12" s="55"/>
      <c r="H12" s="507" cm="1">
        <f t="array" ref="H12">_xlfn.IFS($E$6=1,H14,$E$6=2,H15,$E$6=3,H16)</f>
        <v>0.02</v>
      </c>
      <c r="I12" s="508" cm="1">
        <f t="array" ref="I12">_xlfn.IFS($E$6=1,I14,$E$6=2,I15,$E$6=3,I16)</f>
        <v>0.02</v>
      </c>
      <c r="J12" s="508" cm="1">
        <f t="array" ref="J12">_xlfn.IFS($E$6=1,J14,$E$6=2,J15,$E$6=3,J16)</f>
        <v>2.3E-2</v>
      </c>
      <c r="K12" s="508" cm="1">
        <f t="array" ref="K12">_xlfn.IFS($E$6=1,K14,$E$6=2,K15,$E$6=3,K16)</f>
        <v>2.5000000000000001E-2</v>
      </c>
      <c r="L12" s="508" cm="1">
        <f t="array" ref="L12">_xlfn.IFS($E$6=1,L14,$E$6=2,L15,$E$6=3,L16)</f>
        <v>2.5000000000000001E-2</v>
      </c>
      <c r="M12" s="594"/>
    </row>
    <row r="13" spans="2:13" ht="4.3499999999999996" customHeight="1">
      <c r="C13" s="56"/>
      <c r="E13" s="55"/>
      <c r="F13" s="55"/>
      <c r="H13" s="57"/>
      <c r="I13" s="58"/>
      <c r="J13" s="58"/>
      <c r="K13" s="58"/>
      <c r="L13" s="58"/>
      <c r="M13" s="58"/>
    </row>
    <row r="14" spans="2:13">
      <c r="C14" s="56"/>
      <c r="D14" s="33" t="str">
        <f>Assumptions!C18</f>
        <v>Base Case</v>
      </c>
      <c r="E14" s="55"/>
      <c r="F14" s="55"/>
      <c r="H14" s="59">
        <v>0.02</v>
      </c>
      <c r="I14" s="60">
        <v>0.02</v>
      </c>
      <c r="J14" s="60">
        <v>2.3E-2</v>
      </c>
      <c r="K14" s="60">
        <v>2.5000000000000001E-2</v>
      </c>
      <c r="L14" s="61">
        <v>2.5000000000000001E-2</v>
      </c>
      <c r="M14" s="63"/>
    </row>
    <row r="15" spans="2:13">
      <c r="C15" s="56"/>
      <c r="D15" s="33" t="str">
        <f>Assumptions!C19</f>
        <v>Best Case</v>
      </c>
      <c r="E15" s="55"/>
      <c r="F15" s="55"/>
      <c r="H15" s="62">
        <v>1.7999999999999999E-2</v>
      </c>
      <c r="I15" s="63">
        <v>1.7999999999999999E-2</v>
      </c>
      <c r="J15" s="63">
        <v>1.7999999999999999E-2</v>
      </c>
      <c r="K15" s="63">
        <v>0.02</v>
      </c>
      <c r="L15" s="64">
        <v>0.02</v>
      </c>
      <c r="M15" s="63"/>
    </row>
    <row r="16" spans="2:13">
      <c r="C16" s="56"/>
      <c r="D16" s="33" t="str">
        <f>Assumptions!C20</f>
        <v>Worst Case</v>
      </c>
      <c r="E16" s="55"/>
      <c r="F16" s="55"/>
      <c r="H16" s="65">
        <v>2.5000000000000001E-2</v>
      </c>
      <c r="I16" s="66">
        <v>2.5000000000000001E-2</v>
      </c>
      <c r="J16" s="66">
        <v>2.5000000000000001E-2</v>
      </c>
      <c r="K16" s="66">
        <v>2.5000000000000001E-2</v>
      </c>
      <c r="L16" s="67">
        <v>2.5000000000000001E-2</v>
      </c>
      <c r="M16" s="63"/>
    </row>
    <row r="17" spans="2:15">
      <c r="D17" s="68"/>
      <c r="E17" s="69"/>
      <c r="F17" s="69"/>
      <c r="H17" s="70"/>
      <c r="I17" s="70"/>
      <c r="J17" s="70"/>
      <c r="K17" s="70"/>
      <c r="L17" s="71"/>
      <c r="M17" s="71"/>
    </row>
    <row r="18" spans="2:15">
      <c r="C18" s="72"/>
      <c r="D18" s="72"/>
      <c r="E18" s="73"/>
      <c r="F18" s="73"/>
      <c r="G18" s="72"/>
      <c r="H18" s="72"/>
      <c r="I18" s="72"/>
      <c r="J18" s="72"/>
      <c r="K18" s="72"/>
      <c r="L18" s="72"/>
    </row>
    <row r="20" spans="2:15" ht="12.75" customHeight="1"/>
    <row r="21" spans="2:15" ht="12.75" customHeight="1">
      <c r="C21" s="52" t="s">
        <v>107</v>
      </c>
    </row>
    <row r="22" spans="2:15" ht="12.75" customHeight="1"/>
    <row r="23" spans="2:15" s="74" customFormat="1" ht="16.149999999999999" customHeight="1">
      <c r="C23" s="54" t="s">
        <v>168</v>
      </c>
      <c r="E23" s="75"/>
      <c r="F23" s="75"/>
      <c r="H23" s="509" cm="1">
        <f t="array" ref="H23">_xlfn.IFS($E$6=1,H25,$E$6=2,H26,$E$6=3,H27)</f>
        <v>765</v>
      </c>
      <c r="I23" s="510" cm="1">
        <f t="array" ref="I23">_xlfn.IFS($E$6=1,I25,$E$6=2,I26,$E$6=3,I27)</f>
        <v>800</v>
      </c>
      <c r="J23" s="510" cm="1">
        <f t="array" ref="J23">_xlfn.IFS($E$6=1,J25,$E$6=2,J26,$E$6=3,J27)</f>
        <v>825</v>
      </c>
      <c r="K23" s="510" cm="1">
        <f t="array" ref="K23">_xlfn.IFS($E$6=1,K25,$E$6=2,K26,$E$6=3,K27)</f>
        <v>790</v>
      </c>
      <c r="L23" s="511" cm="1">
        <f t="array" ref="L23">_xlfn.IFS($E$6=1,L25,$E$6=2,L26,$E$6=3,L27)</f>
        <v>750</v>
      </c>
      <c r="M23" s="595"/>
    </row>
    <row r="24" spans="2:15" ht="4.3499999999999996" customHeight="1">
      <c r="C24" s="76"/>
      <c r="E24" s="55"/>
      <c r="F24" s="55"/>
      <c r="H24" s="77"/>
      <c r="I24" s="77"/>
      <c r="J24" s="77"/>
      <c r="K24" s="77"/>
      <c r="L24" s="77"/>
      <c r="M24" s="77"/>
    </row>
    <row r="25" spans="2:15">
      <c r="D25" s="68" t="str">
        <f>D14</f>
        <v>Base Case</v>
      </c>
      <c r="E25" s="69"/>
      <c r="F25" s="69"/>
      <c r="H25" s="512">
        <v>765</v>
      </c>
      <c r="I25" s="513">
        <v>800</v>
      </c>
      <c r="J25" s="513">
        <v>825</v>
      </c>
      <c r="K25" s="513">
        <v>790</v>
      </c>
      <c r="L25" s="514">
        <v>750</v>
      </c>
      <c r="M25" s="596"/>
      <c r="N25" s="78"/>
      <c r="O25" s="79"/>
    </row>
    <row r="26" spans="2:15">
      <c r="B26" s="294">
        <f>Assumptions!F19</f>
        <v>0.04</v>
      </c>
      <c r="D26" s="515" t="s">
        <v>59</v>
      </c>
      <c r="E26" s="69"/>
      <c r="F26" s="69"/>
      <c r="G26" s="427"/>
      <c r="H26" s="516">
        <f t="shared" ref="H26:L27" si="0">H$25*(1+$B26)</f>
        <v>795.6</v>
      </c>
      <c r="I26" s="516">
        <f t="shared" si="0"/>
        <v>832</v>
      </c>
      <c r="J26" s="516">
        <f t="shared" si="0"/>
        <v>858</v>
      </c>
      <c r="K26" s="516">
        <f t="shared" si="0"/>
        <v>821.6</v>
      </c>
      <c r="L26" s="517">
        <f t="shared" si="0"/>
        <v>780</v>
      </c>
      <c r="M26" s="516"/>
      <c r="N26" s="78"/>
      <c r="O26" s="79"/>
    </row>
    <row r="27" spans="2:15">
      <c r="B27" s="294">
        <f>Assumptions!F20</f>
        <v>-0.04</v>
      </c>
      <c r="D27" s="515" t="s">
        <v>60</v>
      </c>
      <c r="E27" s="69"/>
      <c r="F27" s="69"/>
      <c r="H27" s="518">
        <f t="shared" si="0"/>
        <v>734.4</v>
      </c>
      <c r="I27" s="519">
        <f t="shared" si="0"/>
        <v>768</v>
      </c>
      <c r="J27" s="519">
        <f t="shared" si="0"/>
        <v>792</v>
      </c>
      <c r="K27" s="519">
        <f t="shared" si="0"/>
        <v>758.4</v>
      </c>
      <c r="L27" s="520">
        <f t="shared" si="0"/>
        <v>720</v>
      </c>
      <c r="M27" s="516"/>
      <c r="N27" s="78"/>
      <c r="O27" s="79"/>
    </row>
    <row r="28" spans="2:15">
      <c r="D28" s="80"/>
      <c r="E28" s="69"/>
      <c r="F28" s="69"/>
      <c r="H28" s="81"/>
      <c r="I28" s="81"/>
      <c r="J28" s="81"/>
      <c r="K28" s="81"/>
      <c r="L28" s="82"/>
      <c r="M28" s="82"/>
      <c r="N28" s="78"/>
    </row>
    <row r="29" spans="2:15">
      <c r="D29" s="80"/>
      <c r="E29" s="69"/>
      <c r="F29" s="69"/>
      <c r="H29" s="81"/>
      <c r="I29" s="81"/>
      <c r="J29" s="81"/>
      <c r="K29" s="81"/>
      <c r="L29" s="82"/>
      <c r="M29" s="82"/>
      <c r="N29" s="78"/>
    </row>
    <row r="30" spans="2:15" ht="16.149999999999999" customHeight="1">
      <c r="C30" s="54" t="s">
        <v>108</v>
      </c>
      <c r="E30" s="55"/>
      <c r="F30" s="55"/>
      <c r="H30" s="507" cm="1">
        <f t="array" ref="H30">_xlfn.IFS($E$6=1,H32,$E$6=2,H33,$E$6=3,H34)</f>
        <v>0.05</v>
      </c>
      <c r="I30" s="508" cm="1">
        <f t="array" ref="I30">_xlfn.IFS($E$6=1,I32,$E$6=2,I33,$E$6=3,I34)</f>
        <v>0.04</v>
      </c>
      <c r="J30" s="508" cm="1">
        <f t="array" ref="J30">_xlfn.IFS($E$6=1,J32,$E$6=2,J33,$E$6=3,J34)</f>
        <v>0.04</v>
      </c>
      <c r="K30" s="508" cm="1">
        <f t="array" ref="K30">_xlfn.IFS($E$6=1,K32,$E$6=2,K33,$E$6=3,K34)</f>
        <v>0.04</v>
      </c>
      <c r="L30" s="521" cm="1">
        <f t="array" ref="L30">_xlfn.IFS($E$6=1,L32,$E$6=2,L33,$E$6=3,L34)</f>
        <v>0.04</v>
      </c>
      <c r="M30" s="594"/>
    </row>
    <row r="31" spans="2:15" ht="4.3499999999999996" customHeight="1">
      <c r="C31" s="56"/>
      <c r="E31" s="55"/>
      <c r="F31" s="55"/>
      <c r="H31" s="57"/>
      <c r="I31" s="58"/>
      <c r="J31" s="58"/>
      <c r="K31" s="58"/>
      <c r="L31" s="58"/>
      <c r="M31" s="58"/>
    </row>
    <row r="32" spans="2:15">
      <c r="C32" s="56"/>
      <c r="D32" s="33" t="str">
        <f>D14</f>
        <v>Base Case</v>
      </c>
      <c r="E32" s="55"/>
      <c r="F32" s="55"/>
      <c r="H32" s="59">
        <v>0.05</v>
      </c>
      <c r="I32" s="60">
        <v>0.04</v>
      </c>
      <c r="J32" s="60">
        <v>0.04</v>
      </c>
      <c r="K32" s="60">
        <v>0.04</v>
      </c>
      <c r="L32" s="61">
        <v>0.04</v>
      </c>
      <c r="M32" s="63"/>
    </row>
    <row r="33" spans="2:14">
      <c r="C33" s="56"/>
      <c r="D33" s="33" t="str">
        <f>D15</f>
        <v>Best Case</v>
      </c>
      <c r="E33" s="55"/>
      <c r="F33" s="55"/>
      <c r="H33" s="62">
        <v>0.05</v>
      </c>
      <c r="I33" s="63">
        <v>0.04</v>
      </c>
      <c r="J33" s="63">
        <v>0.05</v>
      </c>
      <c r="K33" s="63">
        <v>0.05</v>
      </c>
      <c r="L33" s="64">
        <v>0.04</v>
      </c>
      <c r="M33" s="63"/>
    </row>
    <row r="34" spans="2:14">
      <c r="C34" s="56"/>
      <c r="D34" s="33" t="str">
        <f>D16</f>
        <v>Worst Case</v>
      </c>
      <c r="E34" s="55"/>
      <c r="F34" s="55"/>
      <c r="H34" s="65">
        <v>0.04</v>
      </c>
      <c r="I34" s="66">
        <v>0.04</v>
      </c>
      <c r="J34" s="66">
        <v>0.03</v>
      </c>
      <c r="K34" s="66">
        <v>0.03</v>
      </c>
      <c r="L34" s="67">
        <v>0.02</v>
      </c>
      <c r="M34" s="63"/>
    </row>
    <row r="35" spans="2:14">
      <c r="D35" s="80"/>
      <c r="E35" s="69"/>
      <c r="F35" s="69"/>
      <c r="H35" s="81"/>
      <c r="I35" s="81"/>
      <c r="J35" s="81"/>
      <c r="K35" s="81"/>
      <c r="L35" s="82"/>
      <c r="M35" s="82"/>
      <c r="N35" s="78"/>
    </row>
    <row r="36" spans="2:14">
      <c r="B36" s="83"/>
      <c r="C36" s="83"/>
      <c r="D36" s="83"/>
      <c r="E36" s="84"/>
      <c r="F36" s="84"/>
      <c r="G36" s="83"/>
      <c r="H36" s="83"/>
      <c r="I36" s="83"/>
      <c r="J36" s="83"/>
      <c r="K36" s="83"/>
      <c r="L36" s="83"/>
      <c r="M36" s="83"/>
    </row>
    <row r="39" spans="2:14">
      <c r="D39" s="42"/>
      <c r="E39" s="55"/>
      <c r="F39" s="55"/>
      <c r="H39" s="85"/>
    </row>
    <row r="40" spans="2:14">
      <c r="E40" s="69"/>
      <c r="F40" s="69"/>
      <c r="I40" s="79"/>
    </row>
    <row r="41" spans="2:14">
      <c r="E41" s="69"/>
      <c r="F41" s="69"/>
    </row>
    <row r="42" spans="2:14">
      <c r="H42" s="85"/>
    </row>
  </sheetData>
  <sheetProtection formatCells="0" formatColumns="0" formatRows="0" insertColumns="0" insertRows="0"/>
  <phoneticPr fontId="0" type="noConversion"/>
  <conditionalFormatting sqref="K348:O352">
    <cfRule type="cellIs" dxfId="1" priority="1" stopIfTrue="1" operator="greaterThan">
      <formula>330</formula>
    </cfRule>
  </conditionalFormatting>
  <dataValidations count="1">
    <dataValidation type="list" allowBlank="1" showInputMessage="1" showErrorMessage="1" sqref="E8" xr:uid="{C6B12504-AA38-43C0-84E3-3D3A12CE1B43}">
      <formula1>$D$14:$D$16</formula1>
    </dataValidation>
  </dataValidations>
  <printOptions horizontalCentered="1"/>
  <pageMargins left="0.11811023622047245" right="0.11811023622047245" top="0.11811023622047245" bottom="0.11811023622047245" header="0.11811023622047245" footer="0.11811023622047245"/>
  <pageSetup scale="90" orientation="landscape" r:id="rId1"/>
  <headerFooter alignWithMargins="0">
    <oddFooter>&amp;L&amp;F&amp;C&amp;P of &amp;N&amp;R&amp;D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Drop Down 1">
              <controlPr defaultSize="0" autoLine="0" autoPict="0">
                <anchor moveWithCells="1">
                  <from>
                    <xdr:col>3</xdr:col>
                    <xdr:colOff>1266825</xdr:colOff>
                    <xdr:row>4</xdr:row>
                    <xdr:rowOff>66675</xdr:rowOff>
                  </from>
                  <to>
                    <xdr:col>5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IH437"/>
  <sheetViews>
    <sheetView showGridLines="0" tabSelected="1" zoomScaleNormal="100" zoomScaleSheetLayoutView="90" workbookViewId="0">
      <selection activeCell="D10" sqref="D10"/>
    </sheetView>
  </sheetViews>
  <sheetFormatPr defaultColWidth="9.42578125" defaultRowHeight="12.75" outlineLevelRow="1"/>
  <cols>
    <col min="1" max="1" width="3.5703125" customWidth="1"/>
    <col min="2" max="2" width="1.85546875" customWidth="1"/>
    <col min="3" max="3" width="3" customWidth="1"/>
    <col min="4" max="4" width="15.140625" customWidth="1"/>
    <col min="5" max="5" width="12.5703125" customWidth="1"/>
    <col min="6" max="6" width="10.42578125" style="93" customWidth="1"/>
    <col min="7" max="7" width="1.85546875" customWidth="1"/>
    <col min="8" max="15" width="10.7109375" customWidth="1"/>
    <col min="16" max="16" width="11.42578125" customWidth="1"/>
    <col min="17" max="17" width="15.140625" customWidth="1"/>
    <col min="18" max="21" width="9.42578125" customWidth="1"/>
  </cols>
  <sheetData>
    <row r="1" spans="1:15" ht="12.75" customHeight="1">
      <c r="A1" s="86"/>
      <c r="B1" s="2"/>
      <c r="C1" s="3"/>
      <c r="D1" s="3"/>
      <c r="E1" s="3"/>
      <c r="F1" s="87"/>
      <c r="G1" s="3"/>
      <c r="H1" s="3"/>
      <c r="I1" s="3"/>
      <c r="J1" s="3"/>
      <c r="K1" s="3"/>
      <c r="L1" s="3"/>
      <c r="M1" s="3"/>
      <c r="N1" s="3"/>
      <c r="O1" s="481" t="str">
        <f>"CURRENTLY RUNNING: " &amp; UPPER(CHOOSE(Scenarios!E6,Scenarios!D14,Scenarios!D15,Scenarios!D16)) &amp; " SCENARIO"</f>
        <v>CURRENTLY RUNNING: BASE CASE SCENARIO</v>
      </c>
    </row>
    <row r="2" spans="1:15" ht="42" customHeight="1">
      <c r="A2" s="88"/>
      <c r="B2" s="457" t="str">
        <f>Scenarios!C1</f>
        <v>Blu Containers</v>
      </c>
      <c r="C2" s="457"/>
      <c r="D2" s="457"/>
      <c r="E2" s="457"/>
      <c r="F2" s="457"/>
      <c r="G2" s="457"/>
      <c r="H2" s="457"/>
      <c r="I2" s="457"/>
      <c r="J2" s="457"/>
      <c r="K2" s="457"/>
      <c r="L2" s="457"/>
      <c r="M2" s="457"/>
      <c r="N2" s="457"/>
      <c r="O2" s="457"/>
    </row>
    <row r="3" spans="1:15" ht="18">
      <c r="A3" s="89"/>
      <c r="B3" s="453" t="s">
        <v>99</v>
      </c>
      <c r="C3" s="453"/>
      <c r="D3" s="453"/>
      <c r="E3" s="453"/>
      <c r="F3" s="453"/>
      <c r="G3" s="453"/>
      <c r="H3" s="453"/>
      <c r="I3" s="453"/>
      <c r="J3" s="453"/>
      <c r="K3" s="453"/>
      <c r="L3" s="453"/>
      <c r="M3" s="453"/>
      <c r="N3" s="453"/>
      <c r="O3" s="453"/>
    </row>
    <row r="4" spans="1:15" ht="3" customHeight="1" thickBot="1">
      <c r="A4" s="89"/>
      <c r="B4" s="365"/>
      <c r="C4" s="366"/>
      <c r="D4" s="366"/>
      <c r="E4" s="366"/>
      <c r="F4" s="367"/>
      <c r="G4" s="366"/>
      <c r="H4" s="366"/>
      <c r="I4" s="366"/>
      <c r="J4" s="366"/>
      <c r="K4" s="366"/>
      <c r="L4" s="366"/>
      <c r="M4" s="366"/>
      <c r="N4" s="366"/>
      <c r="O4" s="366"/>
    </row>
    <row r="5" spans="1:15" ht="12.75" customHeight="1" outlineLevel="1">
      <c r="A5" s="90"/>
      <c r="B5" s="91"/>
      <c r="C5" s="91"/>
      <c r="D5" s="91"/>
      <c r="E5" s="91"/>
      <c r="F5" s="92"/>
      <c r="G5" s="91"/>
      <c r="H5" s="91"/>
      <c r="I5" s="91"/>
      <c r="J5" s="91"/>
      <c r="K5" s="91"/>
      <c r="L5" s="91"/>
      <c r="M5" s="91"/>
      <c r="N5" s="91"/>
      <c r="O5" s="91"/>
    </row>
    <row r="6" spans="1:15" outlineLevel="1">
      <c r="G6" s="94"/>
      <c r="K6" s="95" t="s">
        <v>2</v>
      </c>
      <c r="L6" s="19"/>
      <c r="M6" s="19"/>
      <c r="N6" s="19"/>
      <c r="O6" s="19"/>
    </row>
    <row r="7" spans="1:15" outlineLevel="1">
      <c r="F7" s="148" t="s">
        <v>194</v>
      </c>
      <c r="G7" s="20"/>
      <c r="H7" s="356">
        <f>I7-1</f>
        <v>2024</v>
      </c>
      <c r="I7" s="356">
        <f>J7-1</f>
        <v>2025</v>
      </c>
      <c r="J7" s="356">
        <f>K7-1</f>
        <v>2026</v>
      </c>
      <c r="K7" s="120">
        <f>Scenarios!H6</f>
        <v>2027</v>
      </c>
      <c r="L7" s="120">
        <f>Scenarios!I6</f>
        <v>2028</v>
      </c>
      <c r="M7" s="120">
        <f>Scenarios!J6</f>
        <v>2029</v>
      </c>
      <c r="N7" s="120">
        <f>Scenarios!K6</f>
        <v>2030</v>
      </c>
      <c r="O7" s="120">
        <f>Scenarios!L6</f>
        <v>2031</v>
      </c>
    </row>
    <row r="8" spans="1:15" ht="12.75" customHeight="1" outlineLevel="1">
      <c r="H8" s="96"/>
      <c r="I8" s="96"/>
      <c r="J8" s="96"/>
    </row>
    <row r="9" spans="1:15" outlineLevel="1">
      <c r="B9" s="97" t="s">
        <v>1</v>
      </c>
      <c r="F9" s="98"/>
      <c r="H9" s="96"/>
      <c r="I9" s="96"/>
      <c r="J9" s="96"/>
      <c r="K9" s="99"/>
    </row>
    <row r="10" spans="1:15" outlineLevel="1">
      <c r="C10" s="9" t="s">
        <v>62</v>
      </c>
      <c r="F10" s="100" t="s">
        <v>169</v>
      </c>
      <c r="H10" s="101"/>
      <c r="I10" s="101"/>
      <c r="J10" s="102">
        <v>694.4</v>
      </c>
      <c r="K10" s="522">
        <f>Scenarios!H23</f>
        <v>765</v>
      </c>
      <c r="L10" s="522">
        <f>Scenarios!I23</f>
        <v>800</v>
      </c>
      <c r="M10" s="522">
        <f>Scenarios!J23</f>
        <v>825</v>
      </c>
      <c r="N10" s="522">
        <f>Scenarios!K23</f>
        <v>790</v>
      </c>
      <c r="O10" s="522">
        <f>Scenarios!L23</f>
        <v>750</v>
      </c>
    </row>
    <row r="11" spans="1:15" outlineLevel="1">
      <c r="C11" t="s">
        <v>97</v>
      </c>
      <c r="F11" s="98" t="s">
        <v>109</v>
      </c>
      <c r="H11" s="103"/>
      <c r="I11" s="104"/>
      <c r="J11" s="104"/>
      <c r="K11" s="523">
        <f>Scenarios!H12</f>
        <v>0.02</v>
      </c>
      <c r="L11" s="523">
        <f>Scenarios!I12</f>
        <v>0.02</v>
      </c>
      <c r="M11" s="523">
        <f>Scenarios!J12</f>
        <v>2.3E-2</v>
      </c>
      <c r="N11" s="523">
        <f>Scenarios!K12</f>
        <v>2.5000000000000001E-2</v>
      </c>
      <c r="O11" s="523">
        <f>Scenarios!L12</f>
        <v>2.5000000000000001E-2</v>
      </c>
    </row>
    <row r="12" spans="1:15" outlineLevel="1">
      <c r="C12" s="18" t="s">
        <v>51</v>
      </c>
      <c r="F12" s="100" t="s">
        <v>169</v>
      </c>
      <c r="H12" s="105"/>
      <c r="I12" s="105"/>
      <c r="J12" s="106">
        <v>100</v>
      </c>
      <c r="K12" s="524">
        <f>J12*(1+K11)</f>
        <v>102</v>
      </c>
      <c r="L12" s="524">
        <f t="shared" ref="L12:O12" si="0">K12*(1+L11)</f>
        <v>104.04</v>
      </c>
      <c r="M12" s="524">
        <f t="shared" si="0"/>
        <v>106.43292</v>
      </c>
      <c r="N12" s="524">
        <f t="shared" si="0"/>
        <v>109.09374299999999</v>
      </c>
      <c r="O12" s="524">
        <f t="shared" si="0"/>
        <v>111.82108657499998</v>
      </c>
    </row>
    <row r="13" spans="1:15" outlineLevel="1">
      <c r="C13" s="107" t="s">
        <v>64</v>
      </c>
      <c r="F13" s="108" t="s">
        <v>169</v>
      </c>
      <c r="H13" s="109"/>
      <c r="I13" s="109"/>
      <c r="J13" s="110">
        <f>J10-J12</f>
        <v>594.4</v>
      </c>
      <c r="K13" s="110">
        <f>K10-K12</f>
        <v>663</v>
      </c>
      <c r="L13" s="110">
        <f t="shared" ref="L13:O13" si="1">L10-L12</f>
        <v>695.96</v>
      </c>
      <c r="M13" s="110">
        <f t="shared" si="1"/>
        <v>718.56708000000003</v>
      </c>
      <c r="N13" s="110">
        <f t="shared" si="1"/>
        <v>680.90625699999998</v>
      </c>
      <c r="O13" s="110">
        <f t="shared" si="1"/>
        <v>638.17891342500002</v>
      </c>
    </row>
    <row r="14" spans="1:15" outlineLevel="1">
      <c r="B14" s="111"/>
      <c r="C14" s="112"/>
      <c r="D14" s="111"/>
      <c r="E14" s="111"/>
      <c r="F14" s="113"/>
      <c r="G14" s="111"/>
      <c r="H14" s="114"/>
      <c r="I14" s="114"/>
      <c r="J14" s="114"/>
      <c r="K14" s="115"/>
      <c r="L14" s="115"/>
      <c r="M14" s="115"/>
      <c r="N14" s="115"/>
      <c r="O14" s="115"/>
    </row>
    <row r="15" spans="1:15" outlineLevel="1">
      <c r="C15" s="97"/>
      <c r="F15" s="108"/>
      <c r="H15" s="116"/>
      <c r="I15" s="116"/>
      <c r="J15" s="116"/>
      <c r="K15" s="117"/>
      <c r="L15" s="117"/>
      <c r="M15" s="117"/>
      <c r="N15" s="117"/>
      <c r="O15" s="117"/>
    </row>
    <row r="16" spans="1:15" outlineLevel="1">
      <c r="B16" s="107" t="s">
        <v>110</v>
      </c>
      <c r="F16" s="98"/>
    </row>
    <row r="17" spans="1:15" outlineLevel="1">
      <c r="B17" s="107"/>
      <c r="C17" t="s">
        <v>160</v>
      </c>
      <c r="F17" s="98" t="s">
        <v>76</v>
      </c>
      <c r="H17" s="102"/>
      <c r="I17" s="102"/>
      <c r="J17" s="102"/>
      <c r="K17" s="522">
        <f>Assumptions!N17</f>
        <v>420</v>
      </c>
      <c r="L17" s="118">
        <f>K17</f>
        <v>420</v>
      </c>
      <c r="M17" s="118">
        <f>L17</f>
        <v>420</v>
      </c>
      <c r="N17" s="118">
        <f>M17</f>
        <v>420</v>
      </c>
      <c r="O17" s="118">
        <f>N17</f>
        <v>420</v>
      </c>
    </row>
    <row r="18" spans="1:15" outlineLevel="1">
      <c r="B18" s="107"/>
      <c r="F18" s="98"/>
    </row>
    <row r="19" spans="1:15" outlineLevel="1">
      <c r="C19" t="s">
        <v>108</v>
      </c>
      <c r="F19" s="98" t="s">
        <v>109</v>
      </c>
      <c r="H19" s="103"/>
      <c r="I19" s="104"/>
      <c r="J19" s="119"/>
      <c r="K19" s="525">
        <f>Scenarios!H30</f>
        <v>0.05</v>
      </c>
      <c r="L19" s="525">
        <f>Scenarios!I30</f>
        <v>0.04</v>
      </c>
      <c r="M19" s="525">
        <f>Scenarios!J30</f>
        <v>0.04</v>
      </c>
      <c r="N19" s="525">
        <f>Scenarios!K30</f>
        <v>0.04</v>
      </c>
      <c r="O19" s="525">
        <f>Scenarios!L30</f>
        <v>0.04</v>
      </c>
    </row>
    <row r="20" spans="1:15" outlineLevel="1">
      <c r="C20" s="120" t="s">
        <v>111</v>
      </c>
      <c r="F20" s="121" t="s">
        <v>76</v>
      </c>
      <c r="H20" s="122"/>
      <c r="I20" s="122"/>
      <c r="J20" s="110">
        <f>J26*1000/J10</f>
        <v>344.4700460829493</v>
      </c>
      <c r="K20" s="110">
        <f>MIN(K17,J20*(1+K19))</f>
        <v>361.69354838709677</v>
      </c>
      <c r="L20" s="110">
        <f t="shared" ref="L20:O20" si="2">MIN(L17,K20*(1+L19))</f>
        <v>376.16129032258067</v>
      </c>
      <c r="M20" s="110">
        <f t="shared" si="2"/>
        <v>391.20774193548391</v>
      </c>
      <c r="N20" s="110">
        <f t="shared" si="2"/>
        <v>406.85605161290329</v>
      </c>
      <c r="O20" s="110">
        <f t="shared" si="2"/>
        <v>420</v>
      </c>
    </row>
    <row r="21" spans="1:15" ht="6" customHeight="1" outlineLevel="1">
      <c r="C21" s="120"/>
      <c r="F21" s="121"/>
      <c r="H21" s="117"/>
      <c r="I21" s="117"/>
      <c r="J21" s="117"/>
      <c r="K21" s="117"/>
      <c r="L21" s="117"/>
      <c r="M21" s="117"/>
      <c r="N21" s="117"/>
      <c r="O21" s="117"/>
    </row>
    <row r="22" spans="1:15" outlineLevel="1">
      <c r="C22" t="s">
        <v>52</v>
      </c>
      <c r="F22" s="121"/>
      <c r="H22" s="123"/>
      <c r="I22" s="123"/>
      <c r="J22" s="123"/>
      <c r="K22" s="123">
        <f>K20/K17</f>
        <v>0.86117511520737322</v>
      </c>
      <c r="L22" s="123">
        <f t="shared" ref="L22:O22" si="3">L20/L17</f>
        <v>0.8956221198156683</v>
      </c>
      <c r="M22" s="123">
        <f t="shared" si="3"/>
        <v>0.93144700460829499</v>
      </c>
      <c r="N22" s="123">
        <f t="shared" si="3"/>
        <v>0.96870488479262684</v>
      </c>
      <c r="O22" s="123">
        <f t="shared" si="3"/>
        <v>1</v>
      </c>
    </row>
    <row r="23" spans="1:15" ht="12.75" customHeight="1" outlineLevel="1">
      <c r="B23" s="111"/>
      <c r="C23" s="111"/>
      <c r="D23" s="111"/>
      <c r="E23" s="111"/>
      <c r="F23" s="124"/>
      <c r="G23" s="111"/>
      <c r="H23" s="111"/>
      <c r="I23" s="111"/>
      <c r="J23" s="111"/>
      <c r="K23" s="111"/>
      <c r="L23" s="111"/>
      <c r="M23" s="111"/>
      <c r="N23" s="111"/>
      <c r="O23" s="111"/>
    </row>
    <row r="24" spans="1:15" ht="12.75" customHeight="1" outlineLevel="1">
      <c r="F24" s="98"/>
    </row>
    <row r="25" spans="1:15" outlineLevel="1">
      <c r="B25" s="120" t="s">
        <v>43</v>
      </c>
      <c r="F25" s="98"/>
    </row>
    <row r="26" spans="1:15" outlineLevel="1">
      <c r="A26" s="125"/>
      <c r="C26" s="9" t="s">
        <v>44</v>
      </c>
      <c r="F26" s="98" t="s">
        <v>170</v>
      </c>
      <c r="H26" s="126"/>
      <c r="I26" s="126"/>
      <c r="J26" s="127">
        <f>J83</f>
        <v>239.2</v>
      </c>
      <c r="K26" s="127">
        <f>K20*K10/1000</f>
        <v>276.69556451612902</v>
      </c>
      <c r="L26" s="127">
        <f t="shared" ref="L26:O26" si="4">L20*L10/1000</f>
        <v>300.92903225806452</v>
      </c>
      <c r="M26" s="127">
        <f t="shared" si="4"/>
        <v>322.74638709677424</v>
      </c>
      <c r="N26" s="127">
        <f t="shared" si="4"/>
        <v>321.41628077419358</v>
      </c>
      <c r="O26" s="127">
        <f t="shared" si="4"/>
        <v>315</v>
      </c>
    </row>
    <row r="27" spans="1:15" outlineLevel="1">
      <c r="C27" s="18" t="s">
        <v>51</v>
      </c>
      <c r="F27" s="98" t="s">
        <v>170</v>
      </c>
      <c r="H27" s="126"/>
      <c r="I27" s="126"/>
      <c r="J27" s="127">
        <f>J84</f>
        <v>34.4</v>
      </c>
      <c r="K27" s="127">
        <f>K20*K12/1000</f>
        <v>36.892741935483869</v>
      </c>
      <c r="L27" s="127">
        <f t="shared" ref="L27:O27" si="5">L20*L12/1000</f>
        <v>39.135820645161296</v>
      </c>
      <c r="M27" s="127">
        <f t="shared" si="5"/>
        <v>41.637382300800006</v>
      </c>
      <c r="N27" s="127">
        <f t="shared" si="5"/>
        <v>44.385449532652807</v>
      </c>
      <c r="O27" s="127">
        <f t="shared" si="5"/>
        <v>46.964856361499997</v>
      </c>
    </row>
    <row r="28" spans="1:15" outlineLevel="1">
      <c r="C28" s="120" t="s">
        <v>3</v>
      </c>
      <c r="F28" s="121" t="s">
        <v>170</v>
      </c>
      <c r="H28" s="128"/>
      <c r="I28" s="128"/>
      <c r="J28" s="129">
        <f>J26-J27</f>
        <v>204.79999999999998</v>
      </c>
      <c r="K28" s="129">
        <f>K26-K27</f>
        <v>239.80282258064517</v>
      </c>
      <c r="L28" s="129">
        <f t="shared" ref="L28:O28" si="6">L26-L27</f>
        <v>261.79321161290324</v>
      </c>
      <c r="M28" s="129">
        <f t="shared" si="6"/>
        <v>281.10900479597422</v>
      </c>
      <c r="N28" s="129">
        <f t="shared" si="6"/>
        <v>277.0308312415408</v>
      </c>
      <c r="O28" s="129">
        <f t="shared" si="6"/>
        <v>268.03514363850002</v>
      </c>
    </row>
    <row r="29" spans="1:15" ht="12.75" customHeight="1" outlineLevel="1">
      <c r="B29" s="10"/>
      <c r="C29" s="10"/>
      <c r="D29" s="10"/>
      <c r="E29" s="10"/>
      <c r="F29" s="130"/>
      <c r="G29" s="10"/>
      <c r="H29" s="10"/>
      <c r="I29" s="10"/>
      <c r="J29" s="10"/>
      <c r="K29" s="10"/>
      <c r="L29" s="10"/>
      <c r="M29" s="10"/>
      <c r="N29" s="10"/>
      <c r="O29" s="10"/>
    </row>
    <row r="30" spans="1:15" ht="12.75" customHeight="1"/>
    <row r="31" spans="1:15" ht="12.75" customHeight="1">
      <c r="A31" s="88"/>
      <c r="B31" s="1"/>
      <c r="C31" s="3"/>
      <c r="D31" s="3"/>
      <c r="E31" s="3"/>
      <c r="F31" s="87"/>
      <c r="G31" s="3"/>
      <c r="H31" s="3"/>
      <c r="I31" s="3"/>
      <c r="J31" s="3"/>
      <c r="K31" s="3"/>
      <c r="L31" s="3"/>
      <c r="M31" s="3"/>
      <c r="N31" s="3"/>
      <c r="O31" s="131" t="str">
        <f>$O$1</f>
        <v>CURRENTLY RUNNING: BASE CASE SCENARIO</v>
      </c>
    </row>
    <row r="32" spans="1:15" ht="42" customHeight="1">
      <c r="A32" s="88"/>
      <c r="B32" s="457" t="str">
        <f>B$2</f>
        <v>Blu Containers</v>
      </c>
      <c r="C32" s="457"/>
      <c r="D32" s="457"/>
      <c r="E32" s="457"/>
      <c r="F32" s="457"/>
      <c r="G32" s="457"/>
      <c r="H32" s="457"/>
      <c r="I32" s="457"/>
      <c r="J32" s="457"/>
      <c r="K32" s="457"/>
      <c r="L32" s="457"/>
      <c r="M32" s="457"/>
      <c r="N32" s="457"/>
      <c r="O32" s="457"/>
    </row>
    <row r="33" spans="1:15" ht="18">
      <c r="A33" s="89"/>
      <c r="B33" s="453" t="s">
        <v>179</v>
      </c>
      <c r="C33" s="453"/>
      <c r="D33" s="453"/>
      <c r="E33" s="453"/>
      <c r="F33" s="453"/>
      <c r="G33" s="453"/>
      <c r="H33" s="453"/>
      <c r="I33" s="453"/>
      <c r="J33" s="453"/>
      <c r="K33" s="453"/>
      <c r="L33" s="453"/>
      <c r="M33" s="453"/>
      <c r="N33" s="453"/>
      <c r="O33" s="453"/>
    </row>
    <row r="34" spans="1:15" ht="3" customHeight="1" thickBot="1">
      <c r="A34" s="89"/>
      <c r="B34" s="365"/>
      <c r="C34" s="366"/>
      <c r="D34" s="366"/>
      <c r="E34" s="366"/>
      <c r="F34" s="367"/>
      <c r="G34" s="366"/>
      <c r="H34" s="366"/>
      <c r="I34" s="366"/>
      <c r="J34" s="366"/>
      <c r="K34" s="366"/>
      <c r="L34" s="366"/>
      <c r="M34" s="366"/>
      <c r="N34" s="366"/>
      <c r="O34" s="366"/>
    </row>
    <row r="35" spans="1:15" ht="12.75" customHeight="1" outlineLevel="1">
      <c r="A35" s="90"/>
      <c r="B35" s="91"/>
      <c r="C35" s="91"/>
      <c r="D35" s="91"/>
      <c r="E35" s="91"/>
      <c r="F35" s="92"/>
      <c r="G35" s="91"/>
      <c r="H35" s="91"/>
      <c r="I35" s="91"/>
      <c r="J35" s="91"/>
      <c r="K35" s="91"/>
      <c r="L35" s="91"/>
      <c r="M35" s="91"/>
      <c r="N35" s="91"/>
      <c r="O35" s="91"/>
    </row>
    <row r="36" spans="1:15" outlineLevel="1">
      <c r="G36" s="94"/>
      <c r="K36" s="95" t="s">
        <v>2</v>
      </c>
      <c r="L36" s="19"/>
      <c r="M36" s="19"/>
      <c r="N36" s="19"/>
      <c r="O36" s="19"/>
    </row>
    <row r="37" spans="1:15" outlineLevel="1">
      <c r="G37" s="20"/>
      <c r="H37" s="356">
        <f t="shared" ref="H37:O37" si="7">H$7</f>
        <v>2024</v>
      </c>
      <c r="I37" s="356">
        <f t="shared" si="7"/>
        <v>2025</v>
      </c>
      <c r="J37" s="356">
        <f t="shared" si="7"/>
        <v>2026</v>
      </c>
      <c r="K37" s="357">
        <f t="shared" si="7"/>
        <v>2027</v>
      </c>
      <c r="L37" s="357">
        <f t="shared" si="7"/>
        <v>2028</v>
      </c>
      <c r="M37" s="357">
        <f t="shared" si="7"/>
        <v>2029</v>
      </c>
      <c r="N37" s="357">
        <f t="shared" si="7"/>
        <v>2030</v>
      </c>
      <c r="O37" s="357">
        <f t="shared" si="7"/>
        <v>2031</v>
      </c>
    </row>
    <row r="38" spans="1:15" ht="12.95" customHeight="1" outlineLevel="1">
      <c r="G38" s="20"/>
      <c r="H38" s="20"/>
      <c r="I38" s="20"/>
      <c r="J38" s="20"/>
      <c r="K38" s="20"/>
      <c r="L38" s="20"/>
      <c r="M38" s="20"/>
      <c r="N38" s="20"/>
      <c r="O38" s="20"/>
    </row>
    <row r="39" spans="1:15" ht="12.95" customHeight="1" outlineLevel="1">
      <c r="B39" s="133" t="s">
        <v>111</v>
      </c>
      <c r="C39" s="134"/>
      <c r="D39" s="134"/>
      <c r="E39" s="134"/>
      <c r="F39" s="135" t="s">
        <v>76</v>
      </c>
      <c r="G39" s="136"/>
      <c r="H39" s="137"/>
      <c r="I39" s="137"/>
      <c r="J39" s="137">
        <f t="shared" ref="J39:O39" si="8">J20</f>
        <v>344.4700460829493</v>
      </c>
      <c r="K39" s="137">
        <f t="shared" si="8"/>
        <v>361.69354838709677</v>
      </c>
      <c r="L39" s="137">
        <f t="shared" si="8"/>
        <v>376.16129032258067</v>
      </c>
      <c r="M39" s="137">
        <f t="shared" si="8"/>
        <v>391.20774193548391</v>
      </c>
      <c r="N39" s="137">
        <f t="shared" si="8"/>
        <v>406.85605161290329</v>
      </c>
      <c r="O39" s="138">
        <f t="shared" si="8"/>
        <v>420</v>
      </c>
    </row>
    <row r="40" spans="1:15" outlineLevel="1">
      <c r="B40" s="139" t="s">
        <v>97</v>
      </c>
      <c r="C40" s="111"/>
      <c r="D40" s="111"/>
      <c r="E40" s="111"/>
      <c r="F40" s="124" t="s">
        <v>109</v>
      </c>
      <c r="G40" s="140"/>
      <c r="H40" s="141"/>
      <c r="I40" s="141"/>
      <c r="J40" s="141"/>
      <c r="K40" s="141">
        <f>K11</f>
        <v>0.02</v>
      </c>
      <c r="L40" s="142">
        <f>L11</f>
        <v>0.02</v>
      </c>
      <c r="M40" s="142">
        <f>M11</f>
        <v>2.3E-2</v>
      </c>
      <c r="N40" s="142">
        <f>N11</f>
        <v>2.5000000000000001E-2</v>
      </c>
      <c r="O40" s="143">
        <f>O11</f>
        <v>2.5000000000000001E-2</v>
      </c>
    </row>
    <row r="41" spans="1:15" ht="12.95" customHeight="1" outlineLevel="1">
      <c r="B41" s="144"/>
      <c r="G41" s="20"/>
      <c r="H41" s="20"/>
      <c r="I41" s="20"/>
      <c r="J41" s="20"/>
      <c r="K41" s="20"/>
      <c r="L41" s="20"/>
      <c r="M41" s="20"/>
      <c r="N41" s="20"/>
      <c r="O41" s="20"/>
    </row>
    <row r="42" spans="1:15" ht="12.75" customHeight="1" outlineLevel="1">
      <c r="B42" s="145" t="s">
        <v>77</v>
      </c>
      <c r="G42" s="20"/>
      <c r="H42" s="20"/>
      <c r="I42" s="20"/>
      <c r="J42" s="20"/>
      <c r="K42" s="20"/>
      <c r="M42" s="20"/>
      <c r="N42" s="20"/>
      <c r="O42" s="20"/>
    </row>
    <row r="43" spans="1:15" outlineLevel="1">
      <c r="A43">
        <v>1</v>
      </c>
      <c r="C43" s="120" t="s">
        <v>33</v>
      </c>
    </row>
    <row r="44" spans="1:15" outlineLevel="1">
      <c r="D44" s="18" t="str">
        <f>Assumptions!C27</f>
        <v>Raw Materials</v>
      </c>
      <c r="F44" s="93" t="s">
        <v>169</v>
      </c>
      <c r="H44" s="146"/>
      <c r="I44" s="146"/>
      <c r="J44" s="146"/>
      <c r="K44" s="526">
        <f>Assumptions!E27</f>
        <v>226</v>
      </c>
      <c r="L44" s="527">
        <f>K44*(1+L$40)</f>
        <v>230.52</v>
      </c>
      <c r="M44" s="527">
        <f t="shared" ref="M44:O44" si="9">L44*(1+M$40)</f>
        <v>235.82195999999999</v>
      </c>
      <c r="N44" s="527">
        <f t="shared" si="9"/>
        <v>241.71750899999998</v>
      </c>
      <c r="O44" s="527">
        <f t="shared" si="9"/>
        <v>247.76044672499995</v>
      </c>
    </row>
    <row r="45" spans="1:15" outlineLevel="1">
      <c r="D45" s="18" t="str">
        <f>Assumptions!C28</f>
        <v>Utilities</v>
      </c>
      <c r="F45" s="93" t="s">
        <v>169</v>
      </c>
      <c r="H45" s="146"/>
      <c r="I45" s="146"/>
      <c r="J45" s="146"/>
      <c r="K45" s="528">
        <f>Assumptions!E28</f>
        <v>66.2</v>
      </c>
      <c r="L45" s="529">
        <f>K45*(1+L$40)</f>
        <v>67.524000000000001</v>
      </c>
      <c r="M45" s="529">
        <f t="shared" ref="M45:O45" si="10">L45*(1+M$40)</f>
        <v>69.077051999999995</v>
      </c>
      <c r="N45" s="529">
        <f t="shared" si="10"/>
        <v>70.803978299999983</v>
      </c>
      <c r="O45" s="529">
        <f t="shared" si="10"/>
        <v>72.574077757499978</v>
      </c>
    </row>
    <row r="46" spans="1:15" outlineLevel="1">
      <c r="D46" s="120" t="s">
        <v>34</v>
      </c>
      <c r="F46" s="148" t="s">
        <v>169</v>
      </c>
      <c r="H46" s="149"/>
      <c r="I46" s="149"/>
      <c r="J46" s="149"/>
      <c r="K46" s="179">
        <f>SUM(K44:K45)</f>
        <v>292.2</v>
      </c>
      <c r="L46" s="179">
        <f t="shared" ref="L46:O46" si="11">SUM(L44:L45)</f>
        <v>298.04399999999998</v>
      </c>
      <c r="M46" s="179">
        <f t="shared" si="11"/>
        <v>304.89901199999997</v>
      </c>
      <c r="N46" s="179">
        <f t="shared" si="11"/>
        <v>312.52148729999999</v>
      </c>
      <c r="O46" s="179">
        <f t="shared" si="11"/>
        <v>320.33452448249994</v>
      </c>
    </row>
    <row r="47" spans="1:15" ht="6" customHeight="1" outlineLevel="1">
      <c r="D47" s="18"/>
      <c r="H47" s="150"/>
      <c r="I47" s="150"/>
      <c r="J47" s="150"/>
      <c r="K47" s="150"/>
      <c r="L47" s="150"/>
      <c r="M47" s="150"/>
      <c r="N47" s="150"/>
      <c r="O47" s="150"/>
    </row>
    <row r="48" spans="1:15" ht="12.75" customHeight="1" outlineLevel="1">
      <c r="A48">
        <v>4</v>
      </c>
      <c r="C48" s="107" t="s">
        <v>35</v>
      </c>
      <c r="D48" s="18"/>
      <c r="H48" s="151"/>
      <c r="I48" s="151"/>
      <c r="J48" s="151"/>
      <c r="K48" s="151"/>
      <c r="L48" s="152"/>
      <c r="M48" s="152"/>
      <c r="N48" s="152"/>
      <c r="O48" s="152"/>
    </row>
    <row r="49" spans="1:15" ht="12.75" customHeight="1" outlineLevel="1">
      <c r="D49" s="18" t="str">
        <f>Assumptions!C29</f>
        <v>Rent</v>
      </c>
      <c r="F49" s="93" t="s">
        <v>169</v>
      </c>
      <c r="H49" s="147"/>
      <c r="I49" s="147"/>
      <c r="J49" s="147"/>
      <c r="K49" s="527">
        <f>K64*1000/K$39</f>
        <v>64.972129319955414</v>
      </c>
      <c r="L49" s="527">
        <f t="shared" ref="L49:O49" si="12">L64*1000/L$39</f>
        <v>63.722665294571648</v>
      </c>
      <c r="M49" s="527">
        <f t="shared" si="12"/>
        <v>62.681044804179599</v>
      </c>
      <c r="N49" s="527">
        <f t="shared" si="12"/>
        <v>61.776991273350077</v>
      </c>
      <c r="O49" s="527">
        <f t="shared" si="12"/>
        <v>61.339765044642846</v>
      </c>
    </row>
    <row r="50" spans="1:15" outlineLevel="1">
      <c r="D50" s="18" t="str">
        <f>Assumptions!C30</f>
        <v>Operating Labour</v>
      </c>
      <c r="F50" s="93" t="s">
        <v>169</v>
      </c>
      <c r="H50" s="147"/>
      <c r="I50" s="147"/>
      <c r="J50" s="147"/>
      <c r="K50" s="527">
        <f>K65*1000/K$39</f>
        <v>120.2675585284281</v>
      </c>
      <c r="L50" s="527">
        <f t="shared" ref="L50:O50" si="13">L65*1000/L$39</f>
        <v>117.95472086441985</v>
      </c>
      <c r="M50" s="527">
        <f t="shared" si="13"/>
        <v>116.0266148502899</v>
      </c>
      <c r="N50" s="527">
        <f t="shared" si="13"/>
        <v>114.35315405917991</v>
      </c>
      <c r="O50" s="527">
        <f t="shared" si="13"/>
        <v>113.54382040178567</v>
      </c>
    </row>
    <row r="51" spans="1:15" ht="12.75" customHeight="1" outlineLevel="1">
      <c r="D51" t="s">
        <v>10</v>
      </c>
      <c r="F51" s="93" t="s">
        <v>169</v>
      </c>
      <c r="H51" s="147"/>
      <c r="I51" s="147"/>
      <c r="J51" s="147"/>
      <c r="K51" s="529">
        <f>K66*1000/K$39</f>
        <v>5.5295429208472688</v>
      </c>
      <c r="L51" s="529">
        <f t="shared" ref="L51:O51" si="14">L66*1000/L$39</f>
        <v>5.4232055569848212</v>
      </c>
      <c r="M51" s="529">
        <f t="shared" si="14"/>
        <v>5.3345570046110291</v>
      </c>
      <c r="N51" s="529">
        <f t="shared" si="14"/>
        <v>5.2576162785829847</v>
      </c>
      <c r="O51" s="529">
        <f t="shared" si="14"/>
        <v>5.220405535714284</v>
      </c>
    </row>
    <row r="52" spans="1:15" outlineLevel="1">
      <c r="D52" s="97" t="s">
        <v>50</v>
      </c>
      <c r="F52" s="148" t="s">
        <v>169</v>
      </c>
      <c r="H52" s="149"/>
      <c r="I52" s="149"/>
      <c r="J52" s="149"/>
      <c r="K52" s="179">
        <f>SUM(K49:K51)</f>
        <v>190.76923076923077</v>
      </c>
      <c r="L52" s="179">
        <f t="shared" ref="L52:O52" si="15">SUM(L49:L51)</f>
        <v>187.10059171597632</v>
      </c>
      <c r="M52" s="179">
        <f t="shared" si="15"/>
        <v>184.04221665908054</v>
      </c>
      <c r="N52" s="179">
        <f t="shared" si="15"/>
        <v>181.38776161111298</v>
      </c>
      <c r="O52" s="179">
        <f t="shared" si="15"/>
        <v>180.10399098214282</v>
      </c>
    </row>
    <row r="53" spans="1:15" ht="6" customHeight="1" outlineLevel="1">
      <c r="C53" s="120"/>
      <c r="F53" s="148"/>
      <c r="H53" s="154"/>
      <c r="I53" s="154"/>
      <c r="J53" s="154"/>
      <c r="K53" s="154"/>
      <c r="L53" s="154"/>
      <c r="M53" s="154"/>
      <c r="N53" s="154"/>
      <c r="O53" s="154"/>
    </row>
    <row r="54" spans="1:15" ht="13.5" outlineLevel="1" thickBot="1">
      <c r="C54" s="97" t="s">
        <v>45</v>
      </c>
      <c r="F54" s="148" t="s">
        <v>169</v>
      </c>
      <c r="H54" s="155"/>
      <c r="I54" s="155"/>
      <c r="J54" s="155"/>
      <c r="K54" s="530">
        <f>K52+K46</f>
        <v>482.96923076923076</v>
      </c>
      <c r="L54" s="530">
        <f t="shared" ref="L54:O54" si="16">L52+L46</f>
        <v>485.14459171597628</v>
      </c>
      <c r="M54" s="530">
        <f t="shared" si="16"/>
        <v>488.94122865908048</v>
      </c>
      <c r="N54" s="530">
        <f t="shared" si="16"/>
        <v>493.90924891111297</v>
      </c>
      <c r="O54" s="530">
        <f t="shared" si="16"/>
        <v>500.43851546464276</v>
      </c>
    </row>
    <row r="55" spans="1:15" ht="12.95" customHeight="1" outlineLevel="1" thickTop="1">
      <c r="B55" s="112"/>
      <c r="C55" s="157"/>
      <c r="D55" s="111"/>
      <c r="E55" s="111"/>
      <c r="F55" s="158"/>
      <c r="G55" s="159"/>
      <c r="H55" s="159"/>
      <c r="I55" s="159"/>
      <c r="J55" s="159"/>
      <c r="K55" s="159"/>
      <c r="L55" s="159"/>
      <c r="M55" s="159"/>
      <c r="N55" s="159"/>
      <c r="O55" s="159"/>
    </row>
    <row r="56" spans="1:15" ht="12.95" customHeight="1" outlineLevel="1">
      <c r="B56" s="97"/>
      <c r="C56" s="120"/>
      <c r="F56" s="148"/>
      <c r="H56" s="154"/>
      <c r="I56" s="154"/>
      <c r="J56" s="154"/>
      <c r="K56" s="154"/>
      <c r="L56" s="154"/>
      <c r="M56" s="154"/>
      <c r="N56" s="154"/>
      <c r="O56" s="154"/>
    </row>
    <row r="57" spans="1:15" outlineLevel="1">
      <c r="B57" s="145" t="s">
        <v>180</v>
      </c>
      <c r="C57" s="120"/>
      <c r="F57" s="148"/>
      <c r="H57" s="154"/>
      <c r="I57" s="154"/>
      <c r="J57" s="154"/>
      <c r="K57" s="154"/>
      <c r="L57" s="154"/>
      <c r="M57" s="154"/>
      <c r="N57" s="154"/>
      <c r="O57" s="154"/>
    </row>
    <row r="58" spans="1:15" outlineLevel="1">
      <c r="A58">
        <v>2</v>
      </c>
      <c r="C58" s="120" t="s">
        <v>33</v>
      </c>
      <c r="F58" s="148"/>
      <c r="H58" s="154"/>
      <c r="I58" s="154"/>
      <c r="J58" s="154"/>
      <c r="K58" s="154"/>
      <c r="L58" s="154"/>
      <c r="M58" s="154"/>
      <c r="N58" s="154"/>
      <c r="O58" s="154"/>
    </row>
    <row r="59" spans="1:15" outlineLevel="1">
      <c r="D59" s="18" t="str">
        <f>D44</f>
        <v>Raw Materials</v>
      </c>
      <c r="F59" s="93" t="s">
        <v>170</v>
      </c>
      <c r="H59" s="147"/>
      <c r="I59" s="147"/>
      <c r="J59" s="147"/>
      <c r="K59" s="527">
        <f>K44*K$39/1000</f>
        <v>81.742741935483863</v>
      </c>
      <c r="L59" s="527">
        <f t="shared" ref="L59:O59" si="17">L44*L$39/1000</f>
        <v>86.712700645161291</v>
      </c>
      <c r="M59" s="527">
        <f t="shared" si="17"/>
        <v>92.255376470400009</v>
      </c>
      <c r="N59" s="527">
        <f t="shared" si="17"/>
        <v>98.3442313174464</v>
      </c>
      <c r="O59" s="527">
        <f t="shared" si="17"/>
        <v>104.05938762449999</v>
      </c>
    </row>
    <row r="60" spans="1:15" outlineLevel="1">
      <c r="D60" s="18" t="str">
        <f>D45</f>
        <v>Utilities</v>
      </c>
      <c r="F60" s="93" t="s">
        <v>170</v>
      </c>
      <c r="H60" s="147"/>
      <c r="I60" s="147"/>
      <c r="J60" s="147"/>
      <c r="K60" s="529">
        <f>K45*K$39/1000</f>
        <v>23.944112903225808</v>
      </c>
      <c r="L60" s="529">
        <f t="shared" ref="L60:O60" si="18">L45*L$39/1000</f>
        <v>25.399914967741939</v>
      </c>
      <c r="M60" s="529">
        <f t="shared" si="18"/>
        <v>27.023477532479998</v>
      </c>
      <c r="N60" s="529">
        <f t="shared" si="18"/>
        <v>28.807027049623677</v>
      </c>
      <c r="O60" s="529">
        <f t="shared" si="18"/>
        <v>30.481112658149993</v>
      </c>
    </row>
    <row r="61" spans="1:15" ht="12.75" customHeight="1" outlineLevel="1">
      <c r="D61" s="120" t="s">
        <v>34</v>
      </c>
      <c r="F61" s="148" t="s">
        <v>170</v>
      </c>
      <c r="H61" s="149"/>
      <c r="I61" s="149"/>
      <c r="J61" s="149"/>
      <c r="K61" s="179">
        <f>SUM(K59:K60)</f>
        <v>105.68685483870968</v>
      </c>
      <c r="L61" s="179">
        <f t="shared" ref="L61:O61" si="19">SUM(L59:L60)</f>
        <v>112.11261561290323</v>
      </c>
      <c r="M61" s="179">
        <f t="shared" si="19"/>
        <v>119.27885400288001</v>
      </c>
      <c r="N61" s="179">
        <f t="shared" si="19"/>
        <v>127.15125836707008</v>
      </c>
      <c r="O61" s="179">
        <f t="shared" si="19"/>
        <v>134.54050028264999</v>
      </c>
    </row>
    <row r="62" spans="1:15" ht="6" customHeight="1" outlineLevel="1">
      <c r="D62" s="18"/>
      <c r="F62" s="148"/>
      <c r="H62" s="154"/>
      <c r="I62" s="154"/>
      <c r="J62" s="154"/>
      <c r="K62" s="154"/>
      <c r="L62" s="154"/>
      <c r="M62" s="154"/>
      <c r="N62" s="154"/>
      <c r="O62" s="154"/>
    </row>
    <row r="63" spans="1:15" ht="12.75" customHeight="1" outlineLevel="1">
      <c r="A63">
        <v>3</v>
      </c>
      <c r="C63" s="107" t="s">
        <v>35</v>
      </c>
      <c r="D63" s="18"/>
      <c r="F63" s="148"/>
      <c r="H63" s="154"/>
      <c r="I63" s="154"/>
      <c r="J63" s="154"/>
      <c r="K63" s="154"/>
      <c r="L63" s="154"/>
      <c r="M63" s="154"/>
      <c r="N63" s="154"/>
      <c r="O63" s="154"/>
    </row>
    <row r="64" spans="1:15" ht="12.75" customHeight="1" outlineLevel="1">
      <c r="A64" s="22"/>
      <c r="D64" s="18" t="str">
        <f>D49</f>
        <v>Rent</v>
      </c>
      <c r="F64" s="93" t="s">
        <v>170</v>
      </c>
      <c r="H64" s="146"/>
      <c r="I64" s="146"/>
      <c r="J64" s="146"/>
      <c r="K64" s="526">
        <f>Assumptions!E29</f>
        <v>23.5</v>
      </c>
      <c r="L64" s="527">
        <f>K64*(1+L$40)</f>
        <v>23.97</v>
      </c>
      <c r="M64" s="527">
        <f t="shared" ref="M64:O64" si="20">L64*(1+M$40)</f>
        <v>24.521309999999996</v>
      </c>
      <c r="N64" s="527">
        <f t="shared" si="20"/>
        <v>25.134342749999995</v>
      </c>
      <c r="O64" s="527">
        <f t="shared" si="20"/>
        <v>25.762701318749993</v>
      </c>
    </row>
    <row r="65" spans="1:15" ht="12.75" customHeight="1" outlineLevel="1">
      <c r="D65" s="18" t="str">
        <f>D50</f>
        <v>Operating Labour</v>
      </c>
      <c r="F65" s="93" t="s">
        <v>170</v>
      </c>
      <c r="H65" s="146"/>
      <c r="I65" s="146"/>
      <c r="J65" s="146"/>
      <c r="K65" s="526">
        <f>Assumptions!E30</f>
        <v>43.5</v>
      </c>
      <c r="L65" s="527">
        <f>K65*(1+L$40)</f>
        <v>44.37</v>
      </c>
      <c r="M65" s="527">
        <f t="shared" ref="M65:O65" si="21">L65*(1+M$40)</f>
        <v>45.390509999999992</v>
      </c>
      <c r="N65" s="527">
        <f t="shared" si="21"/>
        <v>46.525272749999985</v>
      </c>
      <c r="O65" s="527">
        <f t="shared" si="21"/>
        <v>47.688404568749981</v>
      </c>
    </row>
    <row r="66" spans="1:15" ht="12.95" customHeight="1" outlineLevel="1">
      <c r="D66" t="str">
        <f>D51</f>
        <v>Other</v>
      </c>
      <c r="F66" s="93" t="s">
        <v>170</v>
      </c>
      <c r="H66" s="146"/>
      <c r="I66" s="146"/>
      <c r="J66" s="146"/>
      <c r="K66" s="528">
        <f>Assumptions!E31</f>
        <v>2</v>
      </c>
      <c r="L66" s="529">
        <f>K66*(1+L$40)</f>
        <v>2.04</v>
      </c>
      <c r="M66" s="529">
        <f t="shared" ref="M66:O66" si="22">L66*(1+M$40)</f>
        <v>2.0869199999999997</v>
      </c>
      <c r="N66" s="529">
        <f t="shared" si="22"/>
        <v>2.1390929999999995</v>
      </c>
      <c r="O66" s="529">
        <f t="shared" si="22"/>
        <v>2.1925703249999993</v>
      </c>
    </row>
    <row r="67" spans="1:15" ht="12.95" customHeight="1" outlineLevel="1">
      <c r="D67" s="97" t="s">
        <v>50</v>
      </c>
      <c r="F67" s="148" t="s">
        <v>170</v>
      </c>
      <c r="H67" s="149"/>
      <c r="I67" s="149"/>
      <c r="J67" s="149"/>
      <c r="K67" s="179">
        <f>SUM(K64:K66)</f>
        <v>69</v>
      </c>
      <c r="L67" s="179">
        <f>SUM(L64:L66)</f>
        <v>70.38000000000001</v>
      </c>
      <c r="M67" s="179">
        <f t="shared" ref="M67:O67" si="23">SUM(M64:M66)</f>
        <v>71.998739999999998</v>
      </c>
      <c r="N67" s="179">
        <f t="shared" si="23"/>
        <v>73.798708499999975</v>
      </c>
      <c r="O67" s="179">
        <f t="shared" si="23"/>
        <v>75.643676212499983</v>
      </c>
    </row>
    <row r="68" spans="1:15" ht="6" customHeight="1" outlineLevel="1">
      <c r="C68" s="120"/>
      <c r="H68" s="150"/>
      <c r="I68" s="150"/>
      <c r="J68" s="150"/>
      <c r="K68" s="150"/>
      <c r="L68" s="150"/>
      <c r="M68" s="150"/>
      <c r="N68" s="150"/>
      <c r="O68" s="150"/>
    </row>
    <row r="69" spans="1:15" ht="13.5" outlineLevel="1" thickBot="1">
      <c r="C69" s="97" t="s">
        <v>45</v>
      </c>
      <c r="F69" s="148" t="s">
        <v>170</v>
      </c>
      <c r="H69" s="155"/>
      <c r="I69" s="155"/>
      <c r="J69" s="155"/>
      <c r="K69" s="530">
        <f>K67+K61</f>
        <v>174.68685483870968</v>
      </c>
      <c r="L69" s="530">
        <f t="shared" ref="L69:O69" si="24">L67+L61</f>
        <v>182.49261561290325</v>
      </c>
      <c r="M69" s="530">
        <f t="shared" si="24"/>
        <v>191.27759400287999</v>
      </c>
      <c r="N69" s="530">
        <f t="shared" si="24"/>
        <v>200.94996686707006</v>
      </c>
      <c r="O69" s="530">
        <f t="shared" si="24"/>
        <v>210.18417649514998</v>
      </c>
    </row>
    <row r="70" spans="1:15" ht="12.75" customHeight="1" outlineLevel="1" thickTop="1">
      <c r="B70" s="160"/>
      <c r="C70" s="161"/>
      <c r="D70" s="10"/>
      <c r="E70" s="10"/>
      <c r="F70" s="162"/>
      <c r="G70" s="163"/>
      <c r="H70" s="163"/>
      <c r="I70" s="163"/>
      <c r="J70" s="163"/>
      <c r="K70" s="163"/>
      <c r="L70" s="163"/>
      <c r="M70" s="163"/>
      <c r="N70" s="163"/>
      <c r="O70" s="163"/>
    </row>
    <row r="71" spans="1:15">
      <c r="H71" s="164"/>
      <c r="I71" s="164"/>
      <c r="J71" s="164"/>
      <c r="K71" s="164"/>
      <c r="L71" s="164"/>
      <c r="M71" s="164"/>
      <c r="N71" s="164"/>
      <c r="O71" s="164"/>
    </row>
    <row r="72" spans="1:15" ht="12.75" customHeight="1">
      <c r="A72" s="88"/>
      <c r="B72" s="1"/>
      <c r="C72" s="3"/>
      <c r="D72" s="3"/>
      <c r="E72" s="3"/>
      <c r="F72" s="87"/>
      <c r="G72" s="3"/>
      <c r="H72" s="3"/>
      <c r="I72" s="3"/>
      <c r="J72" s="3"/>
      <c r="K72" s="3"/>
      <c r="L72" s="3"/>
      <c r="M72" s="3"/>
      <c r="N72" s="3"/>
      <c r="O72" s="131" t="str">
        <f>$O$1</f>
        <v>CURRENTLY RUNNING: BASE CASE SCENARIO</v>
      </c>
    </row>
    <row r="73" spans="1:15" ht="42" customHeight="1">
      <c r="A73" s="88"/>
      <c r="B73" s="457" t="str">
        <f>B$2</f>
        <v>Blu Containers</v>
      </c>
      <c r="C73" s="457"/>
      <c r="D73" s="457"/>
      <c r="E73" s="457"/>
      <c r="F73" s="457"/>
      <c r="G73" s="457"/>
      <c r="H73" s="457"/>
      <c r="I73" s="457"/>
      <c r="J73" s="457"/>
      <c r="K73" s="457"/>
      <c r="L73" s="457"/>
      <c r="M73" s="457"/>
      <c r="N73" s="457"/>
      <c r="O73" s="457"/>
    </row>
    <row r="74" spans="1:15" ht="18">
      <c r="A74" s="89"/>
      <c r="B74" s="453" t="s">
        <v>37</v>
      </c>
      <c r="C74" s="453"/>
      <c r="D74" s="453"/>
      <c r="E74" s="453"/>
      <c r="F74" s="453"/>
      <c r="G74" s="453"/>
      <c r="H74" s="453"/>
      <c r="I74" s="453"/>
      <c r="J74" s="453"/>
      <c r="K74" s="453"/>
      <c r="L74" s="453"/>
      <c r="M74" s="453"/>
      <c r="N74" s="453"/>
      <c r="O74" s="453"/>
    </row>
    <row r="75" spans="1:15" ht="3.95" customHeight="1" thickBot="1">
      <c r="A75" s="89"/>
      <c r="B75" s="365"/>
      <c r="C75" s="366"/>
      <c r="D75" s="366"/>
      <c r="E75" s="366"/>
      <c r="F75" s="367"/>
      <c r="G75" s="366"/>
      <c r="H75" s="366"/>
      <c r="I75" s="366"/>
      <c r="J75" s="366"/>
      <c r="K75" s="366"/>
      <c r="L75" s="366"/>
      <c r="M75" s="366"/>
      <c r="N75" s="366"/>
      <c r="O75" s="366"/>
    </row>
    <row r="76" spans="1:15" ht="15" customHeight="1" outlineLevel="1">
      <c r="A76" s="90"/>
      <c r="B76" s="165" t="s">
        <v>171</v>
      </c>
      <c r="C76" s="91"/>
      <c r="D76" s="91"/>
      <c r="E76" s="91"/>
      <c r="F76" s="92"/>
      <c r="G76" s="91"/>
      <c r="H76" s="91"/>
      <c r="I76" s="91"/>
      <c r="J76" s="91"/>
      <c r="K76" s="91"/>
      <c r="L76" s="91"/>
      <c r="M76" s="91"/>
      <c r="N76" s="91"/>
      <c r="O76" s="91"/>
    </row>
    <row r="77" spans="1:15" outlineLevel="1">
      <c r="G77" s="94"/>
      <c r="K77" s="95" t="s">
        <v>2</v>
      </c>
      <c r="L77" s="19"/>
      <c r="M77" s="19"/>
      <c r="N77" s="19"/>
      <c r="O77" s="19"/>
    </row>
    <row r="78" spans="1:15" outlineLevel="1">
      <c r="G78" s="20"/>
      <c r="H78" s="356">
        <f t="shared" ref="H78:O78" si="25">H$7</f>
        <v>2024</v>
      </c>
      <c r="I78" s="356">
        <f t="shared" si="25"/>
        <v>2025</v>
      </c>
      <c r="J78" s="356">
        <f t="shared" si="25"/>
        <v>2026</v>
      </c>
      <c r="K78" s="357">
        <f t="shared" si="25"/>
        <v>2027</v>
      </c>
      <c r="L78" s="357">
        <f t="shared" si="25"/>
        <v>2028</v>
      </c>
      <c r="M78" s="357">
        <f t="shared" si="25"/>
        <v>2029</v>
      </c>
      <c r="N78" s="357">
        <f t="shared" si="25"/>
        <v>2030</v>
      </c>
      <c r="O78" s="357">
        <f t="shared" si="25"/>
        <v>2031</v>
      </c>
    </row>
    <row r="79" spans="1:15" ht="6" customHeight="1" outlineLevel="1">
      <c r="G79" s="20"/>
      <c r="H79" s="20"/>
      <c r="I79" s="20"/>
      <c r="J79" s="20"/>
      <c r="K79" s="166"/>
      <c r="L79" s="166"/>
      <c r="M79" s="166"/>
      <c r="N79" s="57"/>
      <c r="O79" s="99"/>
    </row>
    <row r="80" spans="1:15" outlineLevel="1">
      <c r="B80" s="167" t="s">
        <v>110</v>
      </c>
      <c r="C80" s="168"/>
      <c r="D80" s="168"/>
      <c r="E80" s="168"/>
      <c r="F80" s="168" t="s">
        <v>76</v>
      </c>
      <c r="G80" s="169"/>
      <c r="H80" s="170"/>
      <c r="I80" s="170"/>
      <c r="J80" s="170">
        <f>J20</f>
        <v>344.4700460829493</v>
      </c>
      <c r="K80" s="531">
        <f>K39</f>
        <v>361.69354838709677</v>
      </c>
      <c r="L80" s="531">
        <f t="shared" ref="L80:O80" si="26">L39</f>
        <v>376.16129032258067</v>
      </c>
      <c r="M80" s="531">
        <f t="shared" si="26"/>
        <v>391.20774193548391</v>
      </c>
      <c r="N80" s="531">
        <f t="shared" si="26"/>
        <v>406.85605161290329</v>
      </c>
      <c r="O80" s="531">
        <f t="shared" si="26"/>
        <v>420</v>
      </c>
    </row>
    <row r="81" spans="1:15" ht="6" customHeight="1" outlineLevel="1">
      <c r="F81" s="98"/>
      <c r="G81" s="20"/>
      <c r="H81" s="20"/>
      <c r="I81" s="20"/>
      <c r="J81" s="20"/>
      <c r="K81" s="166"/>
      <c r="L81" s="166"/>
      <c r="M81" s="166"/>
      <c r="N81" s="57"/>
      <c r="O81" s="99"/>
    </row>
    <row r="82" spans="1:15" outlineLevel="1">
      <c r="B82" s="120" t="s">
        <v>43</v>
      </c>
      <c r="F82" s="98"/>
      <c r="G82" s="20"/>
      <c r="H82" s="20"/>
      <c r="I82" s="20"/>
      <c r="J82" s="20"/>
      <c r="K82" s="166"/>
      <c r="L82" s="166"/>
      <c r="M82" s="166"/>
      <c r="N82" s="57"/>
      <c r="O82" s="99"/>
    </row>
    <row r="83" spans="1:15" outlineLevel="1">
      <c r="C83" t="s">
        <v>44</v>
      </c>
      <c r="F83" s="444" t="s">
        <v>203</v>
      </c>
      <c r="G83" s="20"/>
      <c r="H83" s="146">
        <v>244.79999999999998</v>
      </c>
      <c r="I83" s="146">
        <v>269.3</v>
      </c>
      <c r="J83" s="146">
        <v>239.2</v>
      </c>
      <c r="K83" s="532">
        <f>K26</f>
        <v>276.69556451612902</v>
      </c>
      <c r="L83" s="532">
        <f t="shared" ref="L83:O83" si="27">L26</f>
        <v>300.92903225806452</v>
      </c>
      <c r="M83" s="532">
        <f t="shared" si="27"/>
        <v>322.74638709677424</v>
      </c>
      <c r="N83" s="532">
        <f t="shared" si="27"/>
        <v>321.41628077419358</v>
      </c>
      <c r="O83" s="532">
        <f t="shared" si="27"/>
        <v>315</v>
      </c>
    </row>
    <row r="84" spans="1:15" outlineLevel="1">
      <c r="C84" s="18" t="s">
        <v>51</v>
      </c>
      <c r="F84" s="444" t="s">
        <v>203</v>
      </c>
      <c r="G84" s="20"/>
      <c r="H84" s="171">
        <v>31.3</v>
      </c>
      <c r="I84" s="171">
        <v>32.700000000000003</v>
      </c>
      <c r="J84" s="171">
        <v>34.4</v>
      </c>
      <c r="K84" s="533">
        <f>K27</f>
        <v>36.892741935483869</v>
      </c>
      <c r="L84" s="533">
        <f t="shared" ref="L84:O84" si="28">L27</f>
        <v>39.135820645161296</v>
      </c>
      <c r="M84" s="533">
        <f t="shared" si="28"/>
        <v>41.637382300800006</v>
      </c>
      <c r="N84" s="533">
        <f t="shared" si="28"/>
        <v>44.385449532652807</v>
      </c>
      <c r="O84" s="533">
        <f t="shared" si="28"/>
        <v>46.964856361499997</v>
      </c>
    </row>
    <row r="85" spans="1:15" outlineLevel="1">
      <c r="C85" s="120" t="s">
        <v>3</v>
      </c>
      <c r="F85" s="445" t="s">
        <v>204</v>
      </c>
      <c r="G85" s="20"/>
      <c r="H85" s="172">
        <f>+H83-H84</f>
        <v>213.49999999999997</v>
      </c>
      <c r="I85" s="172">
        <f>+I83-I84</f>
        <v>236.60000000000002</v>
      </c>
      <c r="J85" s="172">
        <f>+J83-J84</f>
        <v>204.79999999999998</v>
      </c>
      <c r="K85" s="534">
        <f>K83-K84</f>
        <v>239.80282258064517</v>
      </c>
      <c r="L85" s="534">
        <f t="shared" ref="L85:O85" si="29">L83-L84</f>
        <v>261.79321161290324</v>
      </c>
      <c r="M85" s="534">
        <f t="shared" si="29"/>
        <v>281.10900479597422</v>
      </c>
      <c r="N85" s="534">
        <f t="shared" si="29"/>
        <v>277.0308312415408</v>
      </c>
      <c r="O85" s="534">
        <f t="shared" si="29"/>
        <v>268.03514363850002</v>
      </c>
    </row>
    <row r="86" spans="1:15" outlineLevel="1">
      <c r="F86" s="444"/>
      <c r="G86" s="20"/>
      <c r="H86" s="173"/>
      <c r="I86" s="173"/>
      <c r="J86" s="173"/>
      <c r="K86" s="174"/>
      <c r="L86" s="174"/>
      <c r="M86" s="174"/>
      <c r="N86" s="174"/>
      <c r="O86" s="153"/>
    </row>
    <row r="87" spans="1:15" outlineLevel="1">
      <c r="C87" t="s">
        <v>4</v>
      </c>
      <c r="F87" s="444" t="s">
        <v>205</v>
      </c>
      <c r="G87" s="20"/>
      <c r="H87" s="175">
        <v>159.9</v>
      </c>
      <c r="I87" s="175">
        <v>164.6</v>
      </c>
      <c r="J87" s="175">
        <v>167.9</v>
      </c>
      <c r="K87" s="532">
        <f>K69</f>
        <v>174.68685483870968</v>
      </c>
      <c r="L87" s="532">
        <f t="shared" ref="L87:O87" si="30">L69</f>
        <v>182.49261561290325</v>
      </c>
      <c r="M87" s="532">
        <f t="shared" si="30"/>
        <v>191.27759400287999</v>
      </c>
      <c r="N87" s="532">
        <f t="shared" si="30"/>
        <v>200.94996686707006</v>
      </c>
      <c r="O87" s="532">
        <f t="shared" si="30"/>
        <v>210.18417649514998</v>
      </c>
    </row>
    <row r="88" spans="1:15" outlineLevel="1">
      <c r="A88" s="125"/>
      <c r="C88" s="9" t="s">
        <v>36</v>
      </c>
      <c r="F88" s="444" t="s">
        <v>206</v>
      </c>
      <c r="G88" s="20"/>
      <c r="H88" s="176">
        <v>3.4</v>
      </c>
      <c r="I88" s="176">
        <v>3.6</v>
      </c>
      <c r="J88" s="176">
        <v>3.8</v>
      </c>
      <c r="K88" s="535">
        <f>Assumptions!E32</f>
        <v>3.9</v>
      </c>
      <c r="L88" s="533">
        <f>K88*(1+L$40)</f>
        <v>3.9779999999999998</v>
      </c>
      <c r="M88" s="533">
        <f t="shared" ref="M88:O88" si="31">L88*(1+M$40)</f>
        <v>4.0694939999999997</v>
      </c>
      <c r="N88" s="533">
        <f t="shared" si="31"/>
        <v>4.1712313499999993</v>
      </c>
      <c r="O88" s="533">
        <f t="shared" si="31"/>
        <v>4.2755121337499986</v>
      </c>
    </row>
    <row r="89" spans="1:15" outlineLevel="1">
      <c r="C89" s="97" t="s">
        <v>45</v>
      </c>
      <c r="F89" s="445" t="s">
        <v>204</v>
      </c>
      <c r="G89" s="20"/>
      <c r="H89" s="172">
        <f>SUM(H87:H88)</f>
        <v>163.30000000000001</v>
      </c>
      <c r="I89" s="172">
        <f>SUM(I87:I88)</f>
        <v>168.2</v>
      </c>
      <c r="J89" s="172">
        <f>SUM(J87:J88)</f>
        <v>171.70000000000002</v>
      </c>
      <c r="K89" s="534">
        <f>SUM(K87:K88)</f>
        <v>178.58685483870968</v>
      </c>
      <c r="L89" s="534">
        <f t="shared" ref="L89:O89" si="32">SUM(L87:L88)</f>
        <v>186.47061561290326</v>
      </c>
      <c r="M89" s="534">
        <f t="shared" si="32"/>
        <v>195.34708800287999</v>
      </c>
      <c r="N89" s="534">
        <f t="shared" si="32"/>
        <v>205.12119821707006</v>
      </c>
      <c r="O89" s="534">
        <f t="shared" si="32"/>
        <v>214.45968862889998</v>
      </c>
    </row>
    <row r="90" spans="1:15" outlineLevel="1">
      <c r="C90" s="97"/>
      <c r="F90" s="445"/>
      <c r="G90" s="20"/>
      <c r="H90" s="177"/>
      <c r="I90" s="177"/>
      <c r="J90" s="177"/>
      <c r="K90" s="177"/>
      <c r="L90" s="177"/>
      <c r="M90" s="177"/>
      <c r="N90" s="177"/>
      <c r="O90" s="177"/>
    </row>
    <row r="91" spans="1:15" outlineLevel="1">
      <c r="A91" s="125"/>
      <c r="C91" s="9" t="s">
        <v>161</v>
      </c>
      <c r="F91" s="444" t="s">
        <v>206</v>
      </c>
      <c r="G91" s="20"/>
      <c r="H91" s="178">
        <v>0</v>
      </c>
      <c r="I91" s="178">
        <v>0</v>
      </c>
      <c r="J91" s="178">
        <v>0</v>
      </c>
      <c r="K91" s="535">
        <f>Assumptions!J53</f>
        <v>0</v>
      </c>
      <c r="L91" s="535">
        <f>Assumptions!K53</f>
        <v>0</v>
      </c>
      <c r="M91" s="535">
        <f>Assumptions!L53</f>
        <v>0</v>
      </c>
      <c r="N91" s="535">
        <f>Assumptions!M53</f>
        <v>0</v>
      </c>
      <c r="O91" s="535">
        <f>Assumptions!N53</f>
        <v>0</v>
      </c>
    </row>
    <row r="92" spans="1:15" outlineLevel="1">
      <c r="B92" s="120"/>
      <c r="C92" s="120" t="s">
        <v>5</v>
      </c>
      <c r="F92" s="445" t="s">
        <v>204</v>
      </c>
      <c r="H92" s="179">
        <f>H85-H89+H91</f>
        <v>50.19999999999996</v>
      </c>
      <c r="I92" s="179">
        <f>I85-I89+I91</f>
        <v>68.400000000000034</v>
      </c>
      <c r="J92" s="179">
        <f>J85-J89+J91</f>
        <v>33.099999999999966</v>
      </c>
      <c r="K92" s="179">
        <f>K85-K89+K91</f>
        <v>61.215967741935486</v>
      </c>
      <c r="L92" s="179">
        <f t="shared" ref="L92:O92" si="33">L85-L89+L91</f>
        <v>75.322595999999976</v>
      </c>
      <c r="M92" s="179">
        <f t="shared" si="33"/>
        <v>85.76191679309423</v>
      </c>
      <c r="N92" s="179">
        <f t="shared" si="33"/>
        <v>71.909633024470736</v>
      </c>
      <c r="O92" s="179">
        <f t="shared" si="33"/>
        <v>53.575455009600034</v>
      </c>
    </row>
    <row r="93" spans="1:15" outlineLevel="1">
      <c r="F93" s="444"/>
      <c r="H93" s="150"/>
      <c r="I93" s="150"/>
      <c r="J93" s="180"/>
      <c r="K93" s="180"/>
      <c r="L93" s="180"/>
      <c r="M93" s="180"/>
      <c r="N93" s="180"/>
      <c r="O93" s="180"/>
    </row>
    <row r="94" spans="1:15" outlineLevel="1">
      <c r="C94" t="s">
        <v>46</v>
      </c>
      <c r="F94" s="444" t="s">
        <v>207</v>
      </c>
      <c r="H94" s="181">
        <v>15.4</v>
      </c>
      <c r="I94" s="181">
        <v>15.5</v>
      </c>
      <c r="J94" s="181">
        <v>15.8</v>
      </c>
      <c r="K94" s="529">
        <f>K214</f>
        <v>16.174666666666667</v>
      </c>
      <c r="L94" s="529">
        <f t="shared" ref="L94:O94" si="34">L214</f>
        <v>16.724666666666668</v>
      </c>
      <c r="M94" s="529">
        <f t="shared" si="34"/>
        <v>17.296333333333333</v>
      </c>
      <c r="N94" s="529">
        <f t="shared" si="34"/>
        <v>17.876333333333331</v>
      </c>
      <c r="O94" s="529">
        <f t="shared" si="34"/>
        <v>18.468</v>
      </c>
    </row>
    <row r="95" spans="1:15" outlineLevel="1">
      <c r="C95" s="97" t="s">
        <v>7</v>
      </c>
      <c r="F95" s="445" t="s">
        <v>204</v>
      </c>
      <c r="H95" s="149">
        <f>H92-H94</f>
        <v>34.799999999999962</v>
      </c>
      <c r="I95" s="149">
        <f>I92-I94</f>
        <v>52.900000000000034</v>
      </c>
      <c r="J95" s="149">
        <f>J92-J94</f>
        <v>17.299999999999965</v>
      </c>
      <c r="K95" s="149">
        <f t="shared" ref="K95:O95" si="35">K92-K94</f>
        <v>45.041301075268819</v>
      </c>
      <c r="L95" s="149">
        <f t="shared" si="35"/>
        <v>58.597929333333312</v>
      </c>
      <c r="M95" s="149">
        <f t="shared" si="35"/>
        <v>68.465583459760893</v>
      </c>
      <c r="N95" s="149">
        <f t="shared" si="35"/>
        <v>54.033299691137401</v>
      </c>
      <c r="O95" s="149">
        <f t="shared" si="35"/>
        <v>35.107455009600031</v>
      </c>
    </row>
    <row r="96" spans="1:15" ht="6" customHeight="1" outlineLevel="1">
      <c r="C96" s="97"/>
      <c r="F96" s="445"/>
      <c r="H96" s="154"/>
      <c r="I96" s="154"/>
      <c r="J96" s="154"/>
      <c r="K96" s="154"/>
      <c r="L96" s="154"/>
      <c r="M96" s="154"/>
      <c r="N96" s="154"/>
      <c r="O96" s="154"/>
    </row>
    <row r="97" spans="2:15" outlineLevel="1">
      <c r="C97" s="18" t="s">
        <v>73</v>
      </c>
      <c r="F97" s="444" t="s">
        <v>208</v>
      </c>
      <c r="H97" s="182">
        <v>15</v>
      </c>
      <c r="I97" s="182">
        <v>15</v>
      </c>
      <c r="J97" s="182">
        <v>14</v>
      </c>
      <c r="K97" s="529">
        <f>K322</f>
        <v>11.997</v>
      </c>
      <c r="L97" s="529">
        <f t="shared" ref="L97:O97" si="36">L322</f>
        <v>10.859609936367653</v>
      </c>
      <c r="M97" s="529">
        <f t="shared" si="36"/>
        <v>9.1919741855920361</v>
      </c>
      <c r="N97" s="529">
        <f t="shared" si="36"/>
        <v>7.4356563286236197</v>
      </c>
      <c r="O97" s="529">
        <f t="shared" si="36"/>
        <v>5.9290108687362508</v>
      </c>
    </row>
    <row r="98" spans="2:15" outlineLevel="1">
      <c r="C98" s="107" t="s">
        <v>75</v>
      </c>
      <c r="F98" s="445" t="s">
        <v>204</v>
      </c>
      <c r="H98" s="147">
        <f>H95-H97</f>
        <v>19.799999999999962</v>
      </c>
      <c r="I98" s="147">
        <f>I95-I97</f>
        <v>37.900000000000034</v>
      </c>
      <c r="J98" s="147">
        <f>J95-J97</f>
        <v>3.2999999999999652</v>
      </c>
      <c r="K98" s="527">
        <f>K95-K97</f>
        <v>33.04430107526882</v>
      </c>
      <c r="L98" s="527">
        <f t="shared" ref="L98:O98" si="37">L95-L97</f>
        <v>47.738319396965657</v>
      </c>
      <c r="M98" s="527">
        <f t="shared" si="37"/>
        <v>59.273609274168855</v>
      </c>
      <c r="N98" s="527">
        <f t="shared" si="37"/>
        <v>46.597643362513779</v>
      </c>
      <c r="O98" s="527">
        <f t="shared" si="37"/>
        <v>29.178444140863782</v>
      </c>
    </row>
    <row r="99" spans="2:15" ht="6" customHeight="1" outlineLevel="1">
      <c r="C99" s="97"/>
      <c r="F99" s="445"/>
      <c r="H99" s="183"/>
      <c r="I99" s="183"/>
      <c r="J99" s="183"/>
      <c r="K99" s="183"/>
      <c r="L99" s="154"/>
      <c r="M99" s="149"/>
      <c r="N99" s="149"/>
      <c r="O99" s="154"/>
    </row>
    <row r="100" spans="2:15" outlineLevel="1">
      <c r="C100" t="s">
        <v>92</v>
      </c>
      <c r="F100" s="444" t="s">
        <v>209</v>
      </c>
      <c r="H100" s="146">
        <v>3</v>
      </c>
      <c r="I100" s="146">
        <v>8</v>
      </c>
      <c r="J100" s="146">
        <v>0</v>
      </c>
      <c r="K100" s="527">
        <f>K237</f>
        <v>9.8155053763440865</v>
      </c>
      <c r="L100" s="527">
        <f t="shared" ref="L100:O100" si="38">L237</f>
        <v>14.95841178893798</v>
      </c>
      <c r="M100" s="527">
        <f t="shared" si="38"/>
        <v>18.995763245959097</v>
      </c>
      <c r="N100" s="527">
        <f t="shared" si="38"/>
        <v>14.559175176879821</v>
      </c>
      <c r="O100" s="527">
        <f t="shared" si="38"/>
        <v>8.4624554493023236</v>
      </c>
    </row>
    <row r="101" spans="2:15" outlineLevel="1">
      <c r="C101" t="s">
        <v>145</v>
      </c>
      <c r="F101" s="444" t="s">
        <v>209</v>
      </c>
      <c r="H101" s="171">
        <v>2.7</v>
      </c>
      <c r="I101" s="171">
        <v>6.2</v>
      </c>
      <c r="J101" s="171">
        <v>1.1000000000000001</v>
      </c>
      <c r="K101" s="529">
        <f>K238</f>
        <v>1.75</v>
      </c>
      <c r="L101" s="529">
        <f t="shared" ref="L101:O101" si="39">L238</f>
        <v>1.75</v>
      </c>
      <c r="M101" s="529">
        <f t="shared" si="39"/>
        <v>1.75</v>
      </c>
      <c r="N101" s="529">
        <f t="shared" si="39"/>
        <v>1.7500000000000018</v>
      </c>
      <c r="O101" s="529">
        <f t="shared" si="39"/>
        <v>1.75</v>
      </c>
    </row>
    <row r="102" spans="2:15" outlineLevel="1">
      <c r="C102" s="120" t="s">
        <v>93</v>
      </c>
      <c r="F102" s="445" t="s">
        <v>210</v>
      </c>
      <c r="H102" s="184">
        <f t="shared" ref="H102:O102" si="40">SUM(H100:H101)</f>
        <v>5.7</v>
      </c>
      <c r="I102" s="184">
        <f t="shared" si="40"/>
        <v>14.2</v>
      </c>
      <c r="J102" s="184">
        <f t="shared" si="40"/>
        <v>1.1000000000000001</v>
      </c>
      <c r="K102" s="184">
        <f t="shared" si="40"/>
        <v>11.565505376344086</v>
      </c>
      <c r="L102" s="184">
        <f t="shared" si="40"/>
        <v>16.70841178893798</v>
      </c>
      <c r="M102" s="184">
        <f t="shared" si="40"/>
        <v>20.745763245959097</v>
      </c>
      <c r="N102" s="184">
        <f t="shared" si="40"/>
        <v>16.309175176879823</v>
      </c>
      <c r="O102" s="184">
        <f t="shared" si="40"/>
        <v>10.212455449302324</v>
      </c>
    </row>
    <row r="103" spans="2:15" outlineLevel="1">
      <c r="F103" s="444"/>
    </row>
    <row r="104" spans="2:15" ht="13.5" outlineLevel="1" thickBot="1">
      <c r="C104" s="185" t="s">
        <v>8</v>
      </c>
      <c r="D104" s="120"/>
      <c r="E104" s="120"/>
      <c r="F104" s="445" t="s">
        <v>204</v>
      </c>
      <c r="H104" s="186">
        <f>H98-H102</f>
        <v>14.099999999999962</v>
      </c>
      <c r="I104" s="186">
        <f>I98-I102</f>
        <v>23.700000000000035</v>
      </c>
      <c r="J104" s="186">
        <f>J98-J102</f>
        <v>2.1999999999999651</v>
      </c>
      <c r="K104" s="186">
        <f>K98-K102</f>
        <v>21.478795698924735</v>
      </c>
      <c r="L104" s="186">
        <f t="shared" ref="L104:O104" si="41">L98-L102</f>
        <v>31.029907608027678</v>
      </c>
      <c r="M104" s="186">
        <f t="shared" si="41"/>
        <v>38.527846028209758</v>
      </c>
      <c r="N104" s="186">
        <f t="shared" si="41"/>
        <v>30.288468185633956</v>
      </c>
      <c r="O104" s="186">
        <f t="shared" si="41"/>
        <v>18.965988691561456</v>
      </c>
    </row>
    <row r="105" spans="2:15" ht="13.5" outlineLevel="1" thickTop="1">
      <c r="C105" s="187"/>
      <c r="F105"/>
      <c r="H105" s="188"/>
      <c r="I105" s="188"/>
      <c r="J105" s="188"/>
      <c r="K105" s="188"/>
      <c r="L105" s="188"/>
      <c r="M105" s="188"/>
      <c r="N105" s="188"/>
      <c r="O105" s="188"/>
    </row>
    <row r="106" spans="2:15" outlineLevel="1">
      <c r="H106" s="164"/>
      <c r="I106" s="164"/>
      <c r="J106" s="164"/>
      <c r="K106" s="189"/>
      <c r="L106" s="189"/>
      <c r="M106" s="189"/>
      <c r="N106" s="189"/>
      <c r="O106" s="189"/>
    </row>
    <row r="107" spans="2:15" outlineLevel="1">
      <c r="B107" s="190" t="s">
        <v>38</v>
      </c>
      <c r="C107" s="4"/>
      <c r="D107" s="4"/>
      <c r="E107" s="4"/>
      <c r="F107" s="191"/>
      <c r="G107" s="4"/>
      <c r="H107" s="192"/>
      <c r="I107" s="192"/>
      <c r="J107" s="192"/>
      <c r="K107" s="192"/>
      <c r="L107" s="192"/>
      <c r="M107" s="192"/>
      <c r="N107" s="192"/>
      <c r="O107" s="193"/>
    </row>
    <row r="108" spans="2:15" outlineLevel="1">
      <c r="B108" s="5"/>
      <c r="C108" t="s">
        <v>39</v>
      </c>
      <c r="H108" s="194">
        <f>H92/H85</f>
        <v>0.23512880562060876</v>
      </c>
      <c r="I108" s="194">
        <f>I92/I85</f>
        <v>0.28909551986475074</v>
      </c>
      <c r="J108" s="194">
        <f>J92/J85</f>
        <v>0.16162109374999983</v>
      </c>
      <c r="K108" s="194">
        <f t="shared" ref="K108:O108" si="42">K92/K85</f>
        <v>0.25527626023396238</v>
      </c>
      <c r="L108" s="194">
        <f t="shared" si="42"/>
        <v>0.28771791115567447</v>
      </c>
      <c r="M108" s="194">
        <f t="shared" si="42"/>
        <v>0.30508420338700737</v>
      </c>
      <c r="N108" s="194">
        <f t="shared" si="42"/>
        <v>0.25957267175714949</v>
      </c>
      <c r="O108" s="442">
        <f t="shared" si="42"/>
        <v>0.19988220306609289</v>
      </c>
    </row>
    <row r="109" spans="2:15" outlineLevel="1">
      <c r="B109" s="5"/>
      <c r="C109" t="s">
        <v>40</v>
      </c>
      <c r="F109" s="195"/>
      <c r="H109" s="194">
        <f>H95/H85</f>
        <v>0.16299765807962513</v>
      </c>
      <c r="I109" s="194">
        <f>I95/I85</f>
        <v>0.22358410819949293</v>
      </c>
      <c r="J109" s="194">
        <f>J95/J85</f>
        <v>8.4472656249999833E-2</v>
      </c>
      <c r="K109" s="194">
        <f t="shared" ref="K109:O109" si="43">K95/K85</f>
        <v>0.18782640083446694</v>
      </c>
      <c r="L109" s="194">
        <f t="shared" si="43"/>
        <v>0.22383288310767316</v>
      </c>
      <c r="M109" s="194">
        <f t="shared" si="43"/>
        <v>0.24355528386382519</v>
      </c>
      <c r="N109" s="194">
        <f t="shared" si="43"/>
        <v>0.19504435462645756</v>
      </c>
      <c r="O109" s="442">
        <f t="shared" si="43"/>
        <v>0.13098079055241199</v>
      </c>
    </row>
    <row r="110" spans="2:15" outlineLevel="1">
      <c r="B110" s="11"/>
      <c r="C110" s="10" t="s">
        <v>124</v>
      </c>
      <c r="D110" s="10"/>
      <c r="E110" s="10"/>
      <c r="F110" s="196"/>
      <c r="G110" s="10"/>
      <c r="H110" s="197">
        <f>H104/H184</f>
        <v>5.8823529411764545E-2</v>
      </c>
      <c r="I110" s="197">
        <f>I104/I184</f>
        <v>9.1611905682257563E-2</v>
      </c>
      <c r="J110" s="197">
        <f>J104/J184</f>
        <v>8.5106382978722053E-3</v>
      </c>
      <c r="K110" s="197">
        <f>K104/K184</f>
        <v>7.7911198189798969E-2</v>
      </c>
      <c r="L110" s="197">
        <f t="shared" ref="L110:O110" si="44">L104/L184</f>
        <v>0.10325853129941095</v>
      </c>
      <c r="M110" s="197">
        <f t="shared" si="44"/>
        <v>0.11628266219442947</v>
      </c>
      <c r="N110" s="197">
        <f t="shared" si="44"/>
        <v>8.518524859833293E-2</v>
      </c>
      <c r="O110" s="197">
        <f t="shared" si="44"/>
        <v>5.1158107503062829E-2</v>
      </c>
    </row>
    <row r="111" spans="2:15" outlineLevel="1"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2:15">
      <c r="C112" s="198"/>
      <c r="F112" s="195"/>
      <c r="H112" s="199"/>
      <c r="I112" s="199"/>
      <c r="J112" s="199"/>
      <c r="K112" s="199"/>
      <c r="L112" s="199"/>
      <c r="M112" s="199"/>
      <c r="N112" s="199"/>
      <c r="O112" s="199"/>
    </row>
    <row r="113" spans="1:15" ht="12.75" customHeight="1">
      <c r="A113" s="88"/>
      <c r="B113" s="1"/>
      <c r="C113" s="3"/>
      <c r="D113" s="3"/>
      <c r="E113" s="3"/>
      <c r="F113" s="87"/>
      <c r="G113" s="3"/>
      <c r="H113" s="3"/>
      <c r="I113" s="3"/>
      <c r="J113" s="3"/>
      <c r="K113" s="3"/>
      <c r="L113" s="3"/>
      <c r="M113" s="3"/>
      <c r="N113" s="3"/>
      <c r="O113" s="131" t="str">
        <f>$O$1</f>
        <v>CURRENTLY RUNNING: BASE CASE SCENARIO</v>
      </c>
    </row>
    <row r="114" spans="1:15" ht="42" customHeight="1">
      <c r="B114" s="457" t="str">
        <f>B$2</f>
        <v>Blu Containers</v>
      </c>
      <c r="C114" s="457"/>
      <c r="D114" s="457"/>
      <c r="E114" s="457"/>
      <c r="F114" s="457"/>
      <c r="G114" s="457"/>
      <c r="H114" s="457"/>
      <c r="I114" s="457"/>
      <c r="J114" s="457"/>
      <c r="K114" s="457"/>
      <c r="L114" s="457"/>
      <c r="M114" s="457"/>
      <c r="N114" s="457"/>
      <c r="O114" s="457"/>
    </row>
    <row r="115" spans="1:15" ht="18">
      <c r="B115" s="453" t="s">
        <v>47</v>
      </c>
      <c r="C115" s="453"/>
      <c r="D115" s="453"/>
      <c r="E115" s="453"/>
      <c r="F115" s="453"/>
      <c r="G115" s="453"/>
      <c r="H115" s="453"/>
      <c r="I115" s="453"/>
      <c r="J115" s="453"/>
      <c r="K115" s="453"/>
      <c r="L115" s="453"/>
      <c r="M115" s="453"/>
      <c r="N115" s="453"/>
      <c r="O115" s="453"/>
    </row>
    <row r="116" spans="1:15" ht="3" customHeight="1" thickBot="1">
      <c r="A116" s="89"/>
      <c r="B116" s="365"/>
      <c r="C116" s="366"/>
      <c r="D116" s="366"/>
      <c r="E116" s="366"/>
      <c r="F116" s="367"/>
      <c r="G116" s="366"/>
      <c r="H116" s="366"/>
      <c r="I116" s="366"/>
      <c r="J116" s="366"/>
      <c r="K116" s="366"/>
      <c r="L116" s="366"/>
      <c r="M116" s="366"/>
      <c r="N116" s="366"/>
      <c r="O116" s="366"/>
    </row>
    <row r="117" spans="1:15" outlineLevel="1">
      <c r="B117" s="165" t="s">
        <v>171</v>
      </c>
      <c r="E117" s="28"/>
      <c r="F117"/>
    </row>
    <row r="118" spans="1:15" outlineLevel="1">
      <c r="F118"/>
      <c r="K118" s="95" t="s">
        <v>2</v>
      </c>
      <c r="L118" s="19"/>
      <c r="M118" s="19"/>
      <c r="N118" s="19"/>
      <c r="O118" s="19"/>
    </row>
    <row r="119" spans="1:15" outlineLevel="1">
      <c r="B119" s="200"/>
      <c r="F119" s="201"/>
      <c r="G119" s="202"/>
      <c r="H119" s="356">
        <f t="shared" ref="H119:O119" si="45">H$7</f>
        <v>2024</v>
      </c>
      <c r="I119" s="356">
        <f t="shared" si="45"/>
        <v>2025</v>
      </c>
      <c r="J119" s="356">
        <f t="shared" si="45"/>
        <v>2026</v>
      </c>
      <c r="K119" s="358">
        <f t="shared" si="45"/>
        <v>2027</v>
      </c>
      <c r="L119" s="358">
        <f t="shared" si="45"/>
        <v>2028</v>
      </c>
      <c r="M119" s="358">
        <f t="shared" si="45"/>
        <v>2029</v>
      </c>
      <c r="N119" s="358">
        <f t="shared" si="45"/>
        <v>2030</v>
      </c>
      <c r="O119" s="358">
        <f t="shared" si="45"/>
        <v>2031</v>
      </c>
    </row>
    <row r="120" spans="1:15" outlineLevel="1">
      <c r="B120" s="120" t="s">
        <v>9</v>
      </c>
      <c r="F120"/>
    </row>
    <row r="121" spans="1:15" outlineLevel="1">
      <c r="C121" t="s">
        <v>8</v>
      </c>
      <c r="F121" s="444" t="s">
        <v>211</v>
      </c>
      <c r="G121" s="204"/>
      <c r="H121" s="205">
        <v>14.099999999999962</v>
      </c>
      <c r="I121" s="205">
        <v>23.700000000000035</v>
      </c>
      <c r="J121" s="205">
        <v>2.2000000000000002</v>
      </c>
      <c r="K121" s="208">
        <f>K104</f>
        <v>21.478795698924735</v>
      </c>
      <c r="L121" s="208">
        <f t="shared" ref="L121:O121" si="46">L104</f>
        <v>31.029907608027678</v>
      </c>
      <c r="M121" s="208">
        <f t="shared" si="46"/>
        <v>38.527846028209758</v>
      </c>
      <c r="N121" s="208">
        <f t="shared" si="46"/>
        <v>30.288468185633956</v>
      </c>
      <c r="O121" s="208">
        <f t="shared" si="46"/>
        <v>18.965988691561456</v>
      </c>
    </row>
    <row r="122" spans="1:15" outlineLevel="1">
      <c r="C122" t="s">
        <v>6</v>
      </c>
      <c r="F122" s="444" t="s">
        <v>211</v>
      </c>
      <c r="G122" s="204"/>
      <c r="H122" s="205">
        <v>15.4</v>
      </c>
      <c r="I122" s="205">
        <v>15.5</v>
      </c>
      <c r="J122" s="205">
        <v>15.8</v>
      </c>
      <c r="K122" s="208">
        <f>K94</f>
        <v>16.174666666666667</v>
      </c>
      <c r="L122" s="208">
        <f t="shared" ref="L122:O122" si="47">L94</f>
        <v>16.724666666666668</v>
      </c>
      <c r="M122" s="208">
        <f t="shared" si="47"/>
        <v>17.296333333333333</v>
      </c>
      <c r="N122" s="208">
        <f t="shared" si="47"/>
        <v>17.876333333333331</v>
      </c>
      <c r="O122" s="208">
        <f t="shared" si="47"/>
        <v>18.468</v>
      </c>
    </row>
    <row r="123" spans="1:15" outlineLevel="1">
      <c r="C123" t="s">
        <v>145</v>
      </c>
      <c r="F123" s="444" t="s">
        <v>211</v>
      </c>
      <c r="G123" s="207"/>
      <c r="H123" s="205">
        <v>2.7</v>
      </c>
      <c r="I123" s="205">
        <v>6.2</v>
      </c>
      <c r="J123" s="205">
        <v>1.1000000000000001</v>
      </c>
      <c r="K123" s="208">
        <f>K101</f>
        <v>1.75</v>
      </c>
      <c r="L123" s="208">
        <f t="shared" ref="L123:O123" si="48">L101</f>
        <v>1.75</v>
      </c>
      <c r="M123" s="208">
        <f t="shared" si="48"/>
        <v>1.75</v>
      </c>
      <c r="N123" s="208">
        <f t="shared" si="48"/>
        <v>1.7500000000000018</v>
      </c>
      <c r="O123" s="208">
        <f t="shared" si="48"/>
        <v>1.75</v>
      </c>
    </row>
    <row r="124" spans="1:15" outlineLevel="1">
      <c r="C124" t="s">
        <v>125</v>
      </c>
      <c r="F124" s="444" t="s">
        <v>212</v>
      </c>
      <c r="G124" s="209"/>
      <c r="H124" s="210">
        <v>0</v>
      </c>
      <c r="I124" s="210">
        <v>0</v>
      </c>
      <c r="J124" s="211">
        <v>0</v>
      </c>
      <c r="K124" s="529">
        <f>K275</f>
        <v>-0.40120216526734254</v>
      </c>
      <c r="L124" s="529">
        <f t="shared" ref="L124:O124" si="49">L275</f>
        <v>1.4953364265047995</v>
      </c>
      <c r="M124" s="529">
        <f t="shared" si="49"/>
        <v>2.0653267416041814</v>
      </c>
      <c r="N124" s="529">
        <f t="shared" si="49"/>
        <v>-0.69256189310365812</v>
      </c>
      <c r="O124" s="529">
        <f t="shared" si="49"/>
        <v>2.7771982810683369</v>
      </c>
    </row>
    <row r="125" spans="1:15" outlineLevel="1">
      <c r="C125" s="97" t="s">
        <v>11</v>
      </c>
      <c r="F125" s="444" t="s">
        <v>204</v>
      </c>
      <c r="G125" s="154"/>
      <c r="H125" s="212">
        <f>SUM(H121:H124)</f>
        <v>32.199999999999967</v>
      </c>
      <c r="I125" s="212">
        <f t="shared" ref="I125:O125" si="50">SUM(I121:I124)</f>
        <v>45.400000000000034</v>
      </c>
      <c r="J125" s="212">
        <f t="shared" si="50"/>
        <v>19.100000000000001</v>
      </c>
      <c r="K125" s="536">
        <f t="shared" si="50"/>
        <v>39.002260200324059</v>
      </c>
      <c r="L125" s="536">
        <f t="shared" si="50"/>
        <v>50.999910701199148</v>
      </c>
      <c r="M125" s="536">
        <f t="shared" si="50"/>
        <v>59.639506103147269</v>
      </c>
      <c r="N125" s="536">
        <f t="shared" si="50"/>
        <v>49.222239625863629</v>
      </c>
      <c r="O125" s="536">
        <f t="shared" si="50"/>
        <v>41.96118697262979</v>
      </c>
    </row>
    <row r="126" spans="1:15" outlineLevel="1">
      <c r="B126" s="9"/>
      <c r="F126"/>
      <c r="G126" s="164"/>
      <c r="H126" s="213"/>
      <c r="I126" s="213"/>
      <c r="J126" s="213"/>
      <c r="K126" s="213"/>
      <c r="L126" s="213"/>
      <c r="M126" s="213"/>
      <c r="N126" s="213"/>
      <c r="O126" s="213"/>
    </row>
    <row r="127" spans="1:15" outlineLevel="1">
      <c r="B127" s="9"/>
      <c r="F127"/>
      <c r="G127" s="164"/>
      <c r="H127" s="213"/>
      <c r="I127" s="213"/>
      <c r="J127" s="213"/>
      <c r="K127" s="213"/>
      <c r="L127" s="213"/>
      <c r="M127" s="213"/>
      <c r="N127" s="213"/>
      <c r="O127" s="213"/>
    </row>
    <row r="128" spans="1:15" outlineLevel="1">
      <c r="B128" s="120" t="s">
        <v>101</v>
      </c>
      <c r="F128"/>
      <c r="G128" s="214"/>
      <c r="H128" s="215"/>
      <c r="I128" s="215"/>
      <c r="J128" s="215"/>
      <c r="K128" s="207"/>
      <c r="L128" s="207"/>
      <c r="M128" s="207"/>
      <c r="N128" s="207"/>
      <c r="O128" s="207"/>
    </row>
    <row r="129" spans="1:15" outlineLevel="1">
      <c r="C129" t="s">
        <v>54</v>
      </c>
      <c r="F129" s="444" t="s">
        <v>206</v>
      </c>
      <c r="H129" s="216">
        <v>-14.1</v>
      </c>
      <c r="I129" s="216">
        <v>-15</v>
      </c>
      <c r="J129" s="216">
        <v>-15.5</v>
      </c>
      <c r="K129" s="526">
        <f>-Assumptions!J58</f>
        <v>-16</v>
      </c>
      <c r="L129" s="526">
        <f>-Assumptions!K58</f>
        <v>-17</v>
      </c>
      <c r="M129" s="526">
        <f>-Assumptions!L58</f>
        <v>-17.3</v>
      </c>
      <c r="N129" s="526">
        <f>-Assumptions!M58</f>
        <v>-17.5</v>
      </c>
      <c r="O129" s="526">
        <f>-Assumptions!N58</f>
        <v>-18</v>
      </c>
    </row>
    <row r="130" spans="1:15" outlineLevel="1">
      <c r="C130" t="s">
        <v>10</v>
      </c>
      <c r="F130" s="444" t="s">
        <v>206</v>
      </c>
      <c r="H130" s="181">
        <v>-5</v>
      </c>
      <c r="I130" s="181">
        <v>4</v>
      </c>
      <c r="J130" s="181">
        <v>3</v>
      </c>
      <c r="K130" s="535">
        <f>Assumptions!J56</f>
        <v>0</v>
      </c>
      <c r="L130" s="535">
        <f>Assumptions!K56</f>
        <v>0</v>
      </c>
      <c r="M130" s="535">
        <f>Assumptions!L56</f>
        <v>0</v>
      </c>
      <c r="N130" s="535">
        <f>Assumptions!M56</f>
        <v>0</v>
      </c>
      <c r="O130" s="535">
        <f>Assumptions!N56</f>
        <v>0</v>
      </c>
    </row>
    <row r="131" spans="1:15" outlineLevel="1">
      <c r="A131" s="120"/>
      <c r="C131" s="120" t="s">
        <v>102</v>
      </c>
      <c r="F131" s="444" t="s">
        <v>204</v>
      </c>
      <c r="G131" s="154"/>
      <c r="H131" s="217">
        <f>SUM(H129:H130)</f>
        <v>-19.100000000000001</v>
      </c>
      <c r="I131" s="217">
        <f>SUM(I129:I130)</f>
        <v>-11</v>
      </c>
      <c r="J131" s="217">
        <f>SUM(J129:J130)</f>
        <v>-12.5</v>
      </c>
      <c r="K131" s="537">
        <f>SUM(K129:K130)</f>
        <v>-16</v>
      </c>
      <c r="L131" s="537">
        <f t="shared" ref="L131:O131" si="51">SUM(L129:L130)</f>
        <v>-17</v>
      </c>
      <c r="M131" s="537">
        <f t="shared" si="51"/>
        <v>-17.3</v>
      </c>
      <c r="N131" s="537">
        <f t="shared" si="51"/>
        <v>-17.5</v>
      </c>
      <c r="O131" s="537">
        <f t="shared" si="51"/>
        <v>-18</v>
      </c>
    </row>
    <row r="132" spans="1:15" outlineLevel="1">
      <c r="A132" s="120"/>
      <c r="B132" s="107"/>
      <c r="F132"/>
      <c r="G132" s="154"/>
      <c r="H132" s="218"/>
      <c r="I132" s="218"/>
      <c r="J132" s="219"/>
      <c r="K132" s="220"/>
      <c r="L132" s="220"/>
      <c r="M132" s="220"/>
      <c r="N132" s="220"/>
      <c r="O132" s="220"/>
    </row>
    <row r="133" spans="1:15" outlineLevel="1">
      <c r="A133" s="120"/>
      <c r="B133" s="107"/>
      <c r="F133"/>
      <c r="G133" s="154"/>
      <c r="H133" s="218"/>
      <c r="I133" s="218"/>
      <c r="J133" s="218"/>
      <c r="K133" s="220"/>
      <c r="L133" s="220"/>
      <c r="M133" s="220"/>
      <c r="N133" s="220"/>
      <c r="O133" s="220"/>
    </row>
    <row r="134" spans="1:15" outlineLevel="1">
      <c r="A134" s="120"/>
      <c r="B134" s="107" t="s">
        <v>72</v>
      </c>
      <c r="F134"/>
      <c r="G134" s="154"/>
      <c r="H134" s="221"/>
      <c r="I134" s="221"/>
      <c r="J134" s="221"/>
      <c r="K134" s="446"/>
      <c r="L134" s="447"/>
      <c r="M134" s="447"/>
      <c r="N134" s="447"/>
      <c r="O134" s="447"/>
    </row>
    <row r="135" spans="1:15" outlineLevel="1">
      <c r="A135" s="120"/>
      <c r="B135" s="107"/>
      <c r="C135" t="s">
        <v>131</v>
      </c>
      <c r="F135" s="444" t="s">
        <v>208</v>
      </c>
      <c r="G135" s="154"/>
      <c r="H135" s="216">
        <v>0</v>
      </c>
      <c r="I135" s="216">
        <v>0</v>
      </c>
      <c r="J135" s="216">
        <v>0</v>
      </c>
      <c r="K135" s="208">
        <f>K306</f>
        <v>5.9934989394608884</v>
      </c>
      <c r="L135" s="208">
        <f t="shared" ref="L135:O135" si="52">L306</f>
        <v>-2.7939291795936114</v>
      </c>
      <c r="M135" s="208">
        <f t="shared" si="52"/>
        <v>-3.199569759867277</v>
      </c>
      <c r="N135" s="208">
        <f t="shared" si="52"/>
        <v>0</v>
      </c>
      <c r="O135" s="208">
        <f t="shared" si="52"/>
        <v>0</v>
      </c>
    </row>
    <row r="136" spans="1:15" outlineLevel="1">
      <c r="A136" s="120"/>
      <c r="B136" s="107"/>
      <c r="C136" t="s">
        <v>132</v>
      </c>
      <c r="F136" s="444" t="s">
        <v>208</v>
      </c>
      <c r="G136" s="154"/>
      <c r="H136" s="216">
        <v>-25</v>
      </c>
      <c r="I136" s="216">
        <v>-25</v>
      </c>
      <c r="J136" s="216">
        <v>-25</v>
      </c>
      <c r="K136" s="208">
        <f>K315</f>
        <v>-25</v>
      </c>
      <c r="L136" s="208">
        <f t="shared" ref="L136:O136" si="53">L315</f>
        <v>-25</v>
      </c>
      <c r="M136" s="208">
        <f t="shared" si="53"/>
        <v>-25</v>
      </c>
      <c r="N136" s="208">
        <f t="shared" si="53"/>
        <v>-25</v>
      </c>
      <c r="O136" s="208">
        <f t="shared" si="53"/>
        <v>-25</v>
      </c>
    </row>
    <row r="137" spans="1:15" outlineLevel="1">
      <c r="A137" s="120"/>
      <c r="B137" s="107"/>
      <c r="C137" t="s">
        <v>121</v>
      </c>
      <c r="F137" s="444" t="s">
        <v>213</v>
      </c>
      <c r="G137" s="154"/>
      <c r="H137" s="216">
        <v>0</v>
      </c>
      <c r="I137" s="216">
        <v>0</v>
      </c>
      <c r="J137" s="216">
        <v>0</v>
      </c>
      <c r="K137" s="208">
        <f>K335</f>
        <v>0</v>
      </c>
      <c r="L137" s="208">
        <f t="shared" ref="L137:O137" si="54">L335</f>
        <v>0</v>
      </c>
      <c r="M137" s="208">
        <f t="shared" si="54"/>
        <v>0</v>
      </c>
      <c r="N137" s="208">
        <f t="shared" si="54"/>
        <v>0</v>
      </c>
      <c r="O137" s="208">
        <f t="shared" si="54"/>
        <v>0</v>
      </c>
    </row>
    <row r="138" spans="1:15" outlineLevel="1">
      <c r="A138" s="120"/>
      <c r="B138" s="107"/>
      <c r="C138" t="s">
        <v>122</v>
      </c>
      <c r="F138" s="444" t="s">
        <v>213</v>
      </c>
      <c r="G138" s="154"/>
      <c r="H138" s="181">
        <v>-2.8</v>
      </c>
      <c r="I138" s="181">
        <v>-4.7</v>
      </c>
      <c r="J138" s="181">
        <v>-2.4</v>
      </c>
      <c r="K138" s="208">
        <f>-K340</f>
        <v>-4.2957591397849475</v>
      </c>
      <c r="L138" s="208">
        <f t="shared" ref="L138:O138" si="55">-L340</f>
        <v>-6.2059815216055361</v>
      </c>
      <c r="M138" s="208">
        <f t="shared" si="55"/>
        <v>-7.705569205641952</v>
      </c>
      <c r="N138" s="208">
        <f t="shared" si="55"/>
        <v>-6.0576936371267918</v>
      </c>
      <c r="O138" s="208">
        <f t="shared" si="55"/>
        <v>-3.7931977383122915</v>
      </c>
    </row>
    <row r="139" spans="1:15" outlineLevel="1">
      <c r="A139" s="120"/>
      <c r="B139" s="107"/>
      <c r="C139" s="120" t="s">
        <v>103</v>
      </c>
      <c r="F139" s="444" t="s">
        <v>204</v>
      </c>
      <c r="G139" s="154"/>
      <c r="H139" s="217">
        <f t="shared" ref="H139:O139" si="56">SUM(H135:H138)</f>
        <v>-27.8</v>
      </c>
      <c r="I139" s="217">
        <f t="shared" si="56"/>
        <v>-29.7</v>
      </c>
      <c r="J139" s="217">
        <f t="shared" si="56"/>
        <v>-27.4</v>
      </c>
      <c r="K139" s="537">
        <f t="shared" si="56"/>
        <v>-23.30226020032406</v>
      </c>
      <c r="L139" s="537">
        <f t="shared" si="56"/>
        <v>-33.999910701199148</v>
      </c>
      <c r="M139" s="537">
        <f t="shared" si="56"/>
        <v>-35.905138965509231</v>
      </c>
      <c r="N139" s="537">
        <f t="shared" si="56"/>
        <v>-31.057693637126793</v>
      </c>
      <c r="O139" s="537">
        <f t="shared" si="56"/>
        <v>-28.793197738312291</v>
      </c>
    </row>
    <row r="140" spans="1:15" outlineLevel="1">
      <c r="A140" s="120"/>
      <c r="B140" s="107"/>
      <c r="F140"/>
      <c r="G140" s="154"/>
      <c r="H140" s="221"/>
      <c r="I140" s="221"/>
      <c r="J140" s="221"/>
      <c r="K140" s="221"/>
      <c r="L140" s="221"/>
      <c r="M140" s="221"/>
      <c r="N140" s="221"/>
      <c r="O140" s="221"/>
    </row>
    <row r="141" spans="1:15" outlineLevel="1">
      <c r="A141" s="120"/>
      <c r="C141" s="97"/>
      <c r="F141"/>
      <c r="G141" s="154"/>
      <c r="H141" s="221"/>
      <c r="I141" s="221"/>
      <c r="J141" s="221"/>
      <c r="K141" s="221"/>
      <c r="L141" s="221"/>
      <c r="M141" s="221"/>
      <c r="N141" s="221"/>
      <c r="O141" s="221"/>
    </row>
    <row r="142" spans="1:15" outlineLevel="1">
      <c r="A142" s="120"/>
      <c r="B142" s="29" t="s">
        <v>55</v>
      </c>
      <c r="C142" s="222"/>
      <c r="D142" s="4"/>
      <c r="E142" s="4"/>
      <c r="F142" s="4"/>
      <c r="G142" s="223"/>
      <c r="H142" s="224">
        <f>H139+H131+H125</f>
        <v>-14.700000000000038</v>
      </c>
      <c r="I142" s="224">
        <f>I139+I131+I125</f>
        <v>4.7000000000000313</v>
      </c>
      <c r="J142" s="224">
        <f>J139+J131+J125</f>
        <v>-20.799999999999997</v>
      </c>
      <c r="K142" s="538">
        <f>K125+K131+K139</f>
        <v>-0.30000000000000071</v>
      </c>
      <c r="L142" s="538">
        <f t="shared" ref="L142:O142" si="57">L125+L131+L139</f>
        <v>0</v>
      </c>
      <c r="M142" s="538">
        <f t="shared" si="57"/>
        <v>6.4343671376380414</v>
      </c>
      <c r="N142" s="538">
        <f t="shared" si="57"/>
        <v>0.66454598873683679</v>
      </c>
      <c r="O142" s="601">
        <f t="shared" si="57"/>
        <v>-4.8320107656825009</v>
      </c>
    </row>
    <row r="143" spans="1:15" outlineLevel="1">
      <c r="A143" s="120"/>
      <c r="B143" s="5" t="s">
        <v>56</v>
      </c>
      <c r="C143" s="97"/>
      <c r="F143"/>
      <c r="G143" s="154"/>
      <c r="H143" s="225">
        <v>31.1</v>
      </c>
      <c r="I143" s="226">
        <f>+H144</f>
        <v>16.399999999999963</v>
      </c>
      <c r="J143" s="226">
        <f>+I144</f>
        <v>21.099999999999994</v>
      </c>
      <c r="K143" s="539">
        <f>J144</f>
        <v>0.29999999999999716</v>
      </c>
      <c r="L143" s="539">
        <f t="shared" ref="L143:O143" si="58">K144</f>
        <v>-3.5527136788005009E-15</v>
      </c>
      <c r="M143" s="539">
        <f t="shared" si="58"/>
        <v>-3.5527136788005009E-15</v>
      </c>
      <c r="N143" s="539">
        <f t="shared" si="58"/>
        <v>6.4343671376380378</v>
      </c>
      <c r="O143" s="602">
        <f t="shared" si="58"/>
        <v>7.0989131263748746</v>
      </c>
    </row>
    <row r="144" spans="1:15" outlineLevel="1">
      <c r="A144" s="120"/>
      <c r="B144" s="227" t="s">
        <v>57</v>
      </c>
      <c r="C144" s="160"/>
      <c r="D144" s="10"/>
      <c r="E144" s="10"/>
      <c r="F144" s="10"/>
      <c r="G144" s="163"/>
      <c r="H144" s="228">
        <f>H143+H142</f>
        <v>16.399999999999963</v>
      </c>
      <c r="I144" s="228">
        <f>I143+I142</f>
        <v>21.099999999999994</v>
      </c>
      <c r="J144" s="228">
        <f>J143+J142</f>
        <v>0.29999999999999716</v>
      </c>
      <c r="K144" s="540">
        <f>SUM(K142:K143)</f>
        <v>-3.5527136788005009E-15</v>
      </c>
      <c r="L144" s="540">
        <f t="shared" ref="L144:O144" si="59">SUM(L142:L143)</f>
        <v>-3.5527136788005009E-15</v>
      </c>
      <c r="M144" s="540">
        <f t="shared" si="59"/>
        <v>6.4343671376380378</v>
      </c>
      <c r="N144" s="540">
        <f t="shared" si="59"/>
        <v>7.0989131263748746</v>
      </c>
      <c r="O144" s="603">
        <f t="shared" si="59"/>
        <v>2.2669023606923737</v>
      </c>
    </row>
    <row r="145" spans="1:18" outlineLevel="1"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spans="1:18">
      <c r="F146"/>
    </row>
    <row r="147" spans="1:18" ht="12.75" customHeight="1">
      <c r="A147" s="88"/>
      <c r="B147" s="1"/>
      <c r="C147" s="3"/>
      <c r="D147" s="3"/>
      <c r="E147" s="3"/>
      <c r="F147" s="87"/>
      <c r="G147" s="3"/>
      <c r="H147" s="3"/>
      <c r="I147" s="3"/>
      <c r="J147" s="3"/>
      <c r="K147" s="3"/>
      <c r="L147" s="3"/>
      <c r="M147" s="3"/>
      <c r="N147" s="3"/>
      <c r="O147" s="131" t="str">
        <f>$O$1</f>
        <v>CURRENTLY RUNNING: BASE CASE SCENARIO</v>
      </c>
    </row>
    <row r="148" spans="1:18" ht="42" customHeight="1">
      <c r="B148" s="457" t="str">
        <f>B$2</f>
        <v>Blu Containers</v>
      </c>
      <c r="C148" s="457"/>
      <c r="D148" s="457"/>
      <c r="E148" s="457"/>
      <c r="F148" s="457"/>
      <c r="G148" s="457"/>
      <c r="H148" s="457"/>
      <c r="I148" s="457"/>
      <c r="J148" s="457"/>
      <c r="K148" s="457"/>
      <c r="L148" s="457"/>
      <c r="M148" s="457"/>
      <c r="N148" s="457"/>
      <c r="O148" s="457"/>
    </row>
    <row r="149" spans="1:18" ht="18">
      <c r="B149" s="453" t="s">
        <v>104</v>
      </c>
      <c r="C149" s="453"/>
      <c r="D149" s="453"/>
      <c r="E149" s="453"/>
      <c r="F149" s="453"/>
      <c r="G149" s="453"/>
      <c r="H149" s="453"/>
      <c r="I149" s="453"/>
      <c r="J149" s="453"/>
      <c r="K149" s="453"/>
      <c r="L149" s="453"/>
      <c r="M149" s="453"/>
      <c r="N149" s="453"/>
      <c r="O149" s="453"/>
    </row>
    <row r="150" spans="1:18" ht="3" customHeight="1">
      <c r="A150" s="89"/>
      <c r="B150" s="457"/>
      <c r="C150" s="457"/>
      <c r="D150" s="457"/>
      <c r="E150" s="457"/>
      <c r="F150" s="457"/>
      <c r="G150" s="457"/>
      <c r="H150" s="457"/>
      <c r="I150" s="457"/>
      <c r="J150" s="457"/>
      <c r="K150" s="457"/>
      <c r="L150" s="457"/>
      <c r="M150" s="457"/>
      <c r="N150" s="457"/>
      <c r="O150" s="457"/>
    </row>
    <row r="151" spans="1:18" outlineLevel="1">
      <c r="B151" s="165" t="s">
        <v>171</v>
      </c>
      <c r="F151"/>
      <c r="O151" s="18"/>
    </row>
    <row r="152" spans="1:18" outlineLevel="1">
      <c r="F152"/>
      <c r="H152" s="229"/>
      <c r="I152" s="229"/>
      <c r="J152" s="229"/>
      <c r="K152" s="95" t="s">
        <v>2</v>
      </c>
      <c r="L152" s="19"/>
      <c r="M152" s="19"/>
      <c r="N152" s="19"/>
      <c r="O152" s="19"/>
    </row>
    <row r="153" spans="1:18" outlineLevel="1">
      <c r="B153" s="230"/>
      <c r="F153" s="203"/>
      <c r="G153" s="202"/>
      <c r="H153" s="356">
        <f t="shared" ref="H153:O153" si="60">H$7</f>
        <v>2024</v>
      </c>
      <c r="I153" s="356">
        <f t="shared" si="60"/>
        <v>2025</v>
      </c>
      <c r="J153" s="356">
        <f t="shared" si="60"/>
        <v>2026</v>
      </c>
      <c r="K153" s="358">
        <f t="shared" si="60"/>
        <v>2027</v>
      </c>
      <c r="L153" s="358">
        <f t="shared" si="60"/>
        <v>2028</v>
      </c>
      <c r="M153" s="358">
        <f t="shared" si="60"/>
        <v>2029</v>
      </c>
      <c r="N153" s="358">
        <f t="shared" si="60"/>
        <v>2030</v>
      </c>
      <c r="O153" s="358">
        <f t="shared" si="60"/>
        <v>2031</v>
      </c>
    </row>
    <row r="154" spans="1:18" outlineLevel="1">
      <c r="B154" s="230"/>
      <c r="F154"/>
      <c r="G154" s="202"/>
      <c r="H154" s="203"/>
      <c r="I154" s="203"/>
      <c r="J154" s="203"/>
      <c r="K154" s="203"/>
      <c r="L154" s="203"/>
      <c r="M154" s="203"/>
      <c r="N154" s="203"/>
      <c r="O154" s="203"/>
    </row>
    <row r="155" spans="1:18" outlineLevel="1">
      <c r="B155" s="120" t="s">
        <v>12</v>
      </c>
    </row>
    <row r="156" spans="1:18" outlineLevel="1">
      <c r="C156" t="s">
        <v>13</v>
      </c>
      <c r="F156" s="444" t="s">
        <v>214</v>
      </c>
      <c r="G156" s="209"/>
      <c r="H156" s="216">
        <v>16.399999999999963</v>
      </c>
      <c r="I156" s="216">
        <v>21.099999999999994</v>
      </c>
      <c r="J156" s="216">
        <v>0.3</v>
      </c>
      <c r="K156" s="541">
        <f>K144</f>
        <v>-3.5527136788005009E-15</v>
      </c>
      <c r="L156" s="541">
        <f t="shared" ref="L156:O156" si="61">L144</f>
        <v>-3.5527136788005009E-15</v>
      </c>
      <c r="M156" s="541">
        <f t="shared" si="61"/>
        <v>6.4343671376380378</v>
      </c>
      <c r="N156" s="541">
        <f t="shared" si="61"/>
        <v>7.0989131263748746</v>
      </c>
      <c r="O156" s="541">
        <f t="shared" si="61"/>
        <v>2.2669023606923737</v>
      </c>
      <c r="Q156" s="184"/>
      <c r="R156" s="184"/>
    </row>
    <row r="157" spans="1:18" outlineLevel="1">
      <c r="C157" t="s">
        <v>14</v>
      </c>
      <c r="F157" s="444" t="s">
        <v>212</v>
      </c>
      <c r="G157" s="209"/>
      <c r="H157" s="216">
        <v>27</v>
      </c>
      <c r="I157" s="216">
        <v>27.8</v>
      </c>
      <c r="J157" s="216">
        <v>28.3</v>
      </c>
      <c r="K157" s="208">
        <f>K267</f>
        <v>31.535713654441007</v>
      </c>
      <c r="L157" s="208">
        <f t="shared" ref="L157:O157" si="62">L267</f>
        <v>31.472407953463776</v>
      </c>
      <c r="M157" s="208">
        <f t="shared" si="62"/>
        <v>30.806466279010873</v>
      </c>
      <c r="N157" s="208">
        <f t="shared" si="62"/>
        <v>30.359543149757897</v>
      </c>
      <c r="O157" s="208">
        <f t="shared" si="62"/>
        <v>29.373714371342466</v>
      </c>
    </row>
    <row r="158" spans="1:18" outlineLevel="1">
      <c r="C158" t="s">
        <v>15</v>
      </c>
      <c r="F158" s="444" t="s">
        <v>212</v>
      </c>
      <c r="G158" s="209"/>
      <c r="H158" s="216">
        <v>36.5</v>
      </c>
      <c r="I158" s="216">
        <v>36.1</v>
      </c>
      <c r="J158" s="216">
        <v>35.1</v>
      </c>
      <c r="K158" s="208">
        <f t="shared" ref="K158:O160" si="63">K268</f>
        <v>33.501588599204595</v>
      </c>
      <c r="L158" s="208">
        <f t="shared" si="63"/>
        <v>32.409890750925442</v>
      </c>
      <c r="M158" s="208">
        <f t="shared" si="63"/>
        <v>31.442892164856985</v>
      </c>
      <c r="N158" s="208">
        <f t="shared" si="63"/>
        <v>33.032871265819736</v>
      </c>
      <c r="O158" s="208">
        <f t="shared" si="63"/>
        <v>31.671588238995202</v>
      </c>
    </row>
    <row r="159" spans="1:18" outlineLevel="1">
      <c r="C159" t="s">
        <v>163</v>
      </c>
      <c r="F159" s="444" t="s">
        <v>212</v>
      </c>
      <c r="G159" s="231"/>
      <c r="H159" s="216">
        <v>14.6</v>
      </c>
      <c r="I159" s="216">
        <v>14.4</v>
      </c>
      <c r="J159" s="216">
        <v>14.9</v>
      </c>
      <c r="K159" s="208">
        <f t="shared" si="63"/>
        <v>14.357823685373399</v>
      </c>
      <c r="L159" s="208">
        <f t="shared" si="63"/>
        <v>14.958411115811742</v>
      </c>
      <c r="M159" s="208">
        <f t="shared" si="63"/>
        <v>15.721446082428493</v>
      </c>
      <c r="N159" s="208">
        <f t="shared" si="63"/>
        <v>16.516435632909868</v>
      </c>
      <c r="O159" s="208">
        <f t="shared" si="63"/>
        <v>17.275411766724655</v>
      </c>
    </row>
    <row r="160" spans="1:18" outlineLevel="1">
      <c r="C160" s="18" t="s">
        <v>10</v>
      </c>
      <c r="F160" s="444" t="s">
        <v>212</v>
      </c>
      <c r="G160" s="231"/>
      <c r="H160" s="181">
        <v>1.4</v>
      </c>
      <c r="I160" s="181">
        <v>1.8</v>
      </c>
      <c r="J160" s="181">
        <v>1.2</v>
      </c>
      <c r="K160" s="529">
        <f t="shared" si="63"/>
        <v>1.4357823685373399</v>
      </c>
      <c r="L160" s="529">
        <f t="shared" si="63"/>
        <v>1.4958411115811743</v>
      </c>
      <c r="M160" s="529">
        <f t="shared" si="63"/>
        <v>1.5721446082428492</v>
      </c>
      <c r="N160" s="529">
        <f t="shared" si="63"/>
        <v>1.6516435632909867</v>
      </c>
      <c r="O160" s="529">
        <f t="shared" si="63"/>
        <v>1.7275411766724655</v>
      </c>
    </row>
    <row r="161" spans="2:16" outlineLevel="1">
      <c r="C161" s="97" t="s">
        <v>16</v>
      </c>
      <c r="F161" s="445" t="s">
        <v>204</v>
      </c>
      <c r="G161" s="150"/>
      <c r="H161" s="206">
        <f t="shared" ref="H161:O161" si="64">SUM(H156:H160)</f>
        <v>95.899999999999963</v>
      </c>
      <c r="I161" s="206">
        <f t="shared" si="64"/>
        <v>101.2</v>
      </c>
      <c r="J161" s="206">
        <f t="shared" si="64"/>
        <v>79.800000000000011</v>
      </c>
      <c r="K161" s="208">
        <f t="shared" si="64"/>
        <v>80.830908307556356</v>
      </c>
      <c r="L161" s="208">
        <f t="shared" si="64"/>
        <v>80.336550931782128</v>
      </c>
      <c r="M161" s="208">
        <f t="shared" si="64"/>
        <v>85.977316272177248</v>
      </c>
      <c r="N161" s="208">
        <f t="shared" si="64"/>
        <v>88.659406738153351</v>
      </c>
      <c r="O161" s="208">
        <f t="shared" si="64"/>
        <v>82.315157914427161</v>
      </c>
    </row>
    <row r="162" spans="2:16" outlineLevel="1">
      <c r="F162" s="448"/>
      <c r="G162" s="204"/>
      <c r="H162" s="150"/>
      <c r="I162" s="150"/>
      <c r="J162" s="232"/>
      <c r="K162" s="232"/>
      <c r="L162" s="232"/>
      <c r="M162" s="232"/>
      <c r="N162" s="232"/>
      <c r="O162" s="232"/>
    </row>
    <row r="163" spans="2:16" outlineLevel="1">
      <c r="C163" t="s">
        <v>17</v>
      </c>
      <c r="F163" s="444" t="s">
        <v>215</v>
      </c>
      <c r="G163" s="231"/>
      <c r="H163" s="216">
        <v>398.5</v>
      </c>
      <c r="I163" s="216">
        <v>398</v>
      </c>
      <c r="J163" s="216">
        <v>397.7</v>
      </c>
      <c r="K163" s="208">
        <f>K216</f>
        <v>397.52533333333332</v>
      </c>
      <c r="L163" s="208">
        <f t="shared" ref="L163:O163" si="65">L216</f>
        <v>397.80066666666664</v>
      </c>
      <c r="M163" s="208">
        <f t="shared" si="65"/>
        <v>397.80433333333332</v>
      </c>
      <c r="N163" s="208">
        <f t="shared" si="65"/>
        <v>397.428</v>
      </c>
      <c r="O163" s="208">
        <f t="shared" si="65"/>
        <v>396.96</v>
      </c>
    </row>
    <row r="164" spans="2:16" outlineLevel="1">
      <c r="C164" s="18" t="s">
        <v>10</v>
      </c>
      <c r="F164" s="444" t="s">
        <v>204</v>
      </c>
      <c r="G164" s="231"/>
      <c r="H164" s="181">
        <v>19</v>
      </c>
      <c r="I164" s="181">
        <v>15</v>
      </c>
      <c r="J164" s="181">
        <v>12</v>
      </c>
      <c r="K164" s="529">
        <f>J164-K130</f>
        <v>12</v>
      </c>
      <c r="L164" s="529">
        <f t="shared" ref="L164:O164" si="66">K164-L130</f>
        <v>12</v>
      </c>
      <c r="M164" s="529">
        <f t="shared" si="66"/>
        <v>12</v>
      </c>
      <c r="N164" s="529">
        <f t="shared" si="66"/>
        <v>12</v>
      </c>
      <c r="O164" s="529">
        <f t="shared" si="66"/>
        <v>12</v>
      </c>
    </row>
    <row r="165" spans="2:16" outlineLevel="1">
      <c r="C165" s="107" t="s">
        <v>176</v>
      </c>
      <c r="F165" s="444" t="s">
        <v>210</v>
      </c>
      <c r="G165" s="231"/>
      <c r="H165" s="208">
        <f>SUM(H163:H164)</f>
        <v>417.5</v>
      </c>
      <c r="I165" s="208">
        <f>SUM(I163:I164)</f>
        <v>413</v>
      </c>
      <c r="J165" s="208">
        <f>SUM(J163:J164)</f>
        <v>409.7</v>
      </c>
      <c r="K165" s="208">
        <f>SUM(K163:K164)</f>
        <v>409.52533333333332</v>
      </c>
      <c r="L165" s="208">
        <f t="shared" ref="L165:O165" si="67">SUM(L163:L164)</f>
        <v>409.80066666666664</v>
      </c>
      <c r="M165" s="208">
        <f t="shared" si="67"/>
        <v>409.80433333333332</v>
      </c>
      <c r="N165" s="208">
        <f t="shared" si="67"/>
        <v>409.428</v>
      </c>
      <c r="O165" s="208">
        <f t="shared" si="67"/>
        <v>408.96</v>
      </c>
    </row>
    <row r="166" spans="2:16" outlineLevel="1">
      <c r="C166" s="18"/>
      <c r="F166" s="98"/>
      <c r="G166" s="231"/>
      <c r="H166" s="216"/>
      <c r="I166" s="216"/>
      <c r="J166" s="216"/>
      <c r="K166" s="208"/>
      <c r="L166" s="208"/>
      <c r="M166" s="208"/>
      <c r="N166" s="208"/>
      <c r="O166" s="208"/>
    </row>
    <row r="167" spans="2:16" ht="13.5" outlineLevel="1" thickBot="1">
      <c r="C167" s="120" t="s">
        <v>18</v>
      </c>
      <c r="F167" s="444" t="s">
        <v>210</v>
      </c>
      <c r="G167" s="154"/>
      <c r="H167" s="156">
        <f>+H161+H165</f>
        <v>513.4</v>
      </c>
      <c r="I167" s="156">
        <f>+I161+I165</f>
        <v>514.20000000000005</v>
      </c>
      <c r="J167" s="156">
        <f>+J161+J165</f>
        <v>489.5</v>
      </c>
      <c r="K167" s="530">
        <f>+K161+K165</f>
        <v>490.35624164088966</v>
      </c>
      <c r="L167" s="530">
        <f t="shared" ref="L167:O167" si="68">+L161+L165</f>
        <v>490.13721759844879</v>
      </c>
      <c r="M167" s="530">
        <f t="shared" si="68"/>
        <v>495.78164960551055</v>
      </c>
      <c r="N167" s="530">
        <f t="shared" si="68"/>
        <v>498.08740673815333</v>
      </c>
      <c r="O167" s="530">
        <f t="shared" si="68"/>
        <v>491.27515791442715</v>
      </c>
    </row>
    <row r="168" spans="2:16" ht="13.5" outlineLevel="1" thickTop="1">
      <c r="F168" s="150"/>
      <c r="G168" s="204"/>
      <c r="H168" s="150"/>
      <c r="I168" s="150"/>
      <c r="J168" s="204"/>
      <c r="K168" s="204"/>
      <c r="L168" s="204"/>
      <c r="M168" s="204"/>
      <c r="N168" s="204"/>
      <c r="O168" s="204"/>
    </row>
    <row r="169" spans="2:16" outlineLevel="1">
      <c r="F169" s="150"/>
      <c r="G169" s="204"/>
      <c r="H169" s="150"/>
      <c r="I169" s="150"/>
      <c r="J169" s="204"/>
      <c r="K169" s="204"/>
      <c r="L169" s="204"/>
      <c r="M169" s="204"/>
      <c r="N169" s="204"/>
      <c r="O169" s="204"/>
    </row>
    <row r="170" spans="2:16" outlineLevel="1">
      <c r="B170" s="97" t="s">
        <v>19</v>
      </c>
      <c r="F170" s="150"/>
      <c r="G170" s="204"/>
      <c r="H170" s="150"/>
      <c r="I170" s="150"/>
      <c r="J170" s="204"/>
      <c r="K170" s="204"/>
      <c r="L170" s="204"/>
      <c r="M170" s="204"/>
      <c r="N170" s="204"/>
      <c r="O170" s="204"/>
    </row>
    <row r="171" spans="2:16" outlineLevel="1">
      <c r="C171" s="18" t="s">
        <v>133</v>
      </c>
      <c r="F171" s="444" t="s">
        <v>208</v>
      </c>
      <c r="G171" s="209"/>
      <c r="H171" s="216">
        <v>0</v>
      </c>
      <c r="I171" s="216">
        <v>0</v>
      </c>
      <c r="J171" s="216">
        <v>0</v>
      </c>
      <c r="K171" s="208">
        <f>K307</f>
        <v>5.9934989394608884</v>
      </c>
      <c r="L171" s="208">
        <f t="shared" ref="L171:O171" si="69">L307</f>
        <v>3.199569759867277</v>
      </c>
      <c r="M171" s="208">
        <f t="shared" si="69"/>
        <v>0</v>
      </c>
      <c r="N171" s="208">
        <f t="shared" si="69"/>
        <v>0</v>
      </c>
      <c r="O171" s="208">
        <f t="shared" si="69"/>
        <v>0</v>
      </c>
    </row>
    <row r="172" spans="2:16" outlineLevel="1">
      <c r="C172" s="18" t="s">
        <v>20</v>
      </c>
      <c r="F172" s="444" t="s">
        <v>212</v>
      </c>
      <c r="G172" s="209"/>
      <c r="H172" s="233">
        <v>18.299999999999997</v>
      </c>
      <c r="I172" s="233">
        <v>18.700000000000003</v>
      </c>
      <c r="J172" s="233">
        <v>18.2</v>
      </c>
      <c r="K172" s="527">
        <f>K271</f>
        <v>19.143764913831198</v>
      </c>
      <c r="L172" s="527">
        <f t="shared" ref="L172:O172" si="70">L271</f>
        <v>19.944548154415656</v>
      </c>
      <c r="M172" s="527">
        <f t="shared" si="70"/>
        <v>20.961928109904658</v>
      </c>
      <c r="N172" s="527">
        <f t="shared" si="70"/>
        <v>22.021914177213159</v>
      </c>
      <c r="O172" s="527">
        <f t="shared" si="70"/>
        <v>23.033882355632876</v>
      </c>
    </row>
    <row r="173" spans="2:16" outlineLevel="1">
      <c r="C173" s="18" t="s">
        <v>10</v>
      </c>
      <c r="F173" s="444" t="s">
        <v>212</v>
      </c>
      <c r="G173" s="231"/>
      <c r="H173" s="181">
        <v>4.7</v>
      </c>
      <c r="I173" s="181">
        <v>4.9000000000000004</v>
      </c>
      <c r="J173" s="181">
        <v>4.8</v>
      </c>
      <c r="K173" s="529">
        <f>K272</f>
        <v>4.7859412284577996</v>
      </c>
      <c r="L173" s="529">
        <f t="shared" ref="L173:O173" si="71">L272</f>
        <v>4.9861370386039141</v>
      </c>
      <c r="M173" s="529">
        <f t="shared" si="71"/>
        <v>5.2404820274761645</v>
      </c>
      <c r="N173" s="529">
        <f t="shared" si="71"/>
        <v>5.5054785443032896</v>
      </c>
      <c r="O173" s="529">
        <f t="shared" si="71"/>
        <v>5.7584705889082191</v>
      </c>
    </row>
    <row r="174" spans="2:16" outlineLevel="1">
      <c r="C174" s="97" t="s">
        <v>21</v>
      </c>
      <c r="F174" s="445" t="s">
        <v>210</v>
      </c>
      <c r="G174" s="150"/>
      <c r="H174" s="147">
        <f t="shared" ref="H174:O174" si="72">SUM(H171:H173)</f>
        <v>22.999999999999996</v>
      </c>
      <c r="I174" s="147">
        <f t="shared" si="72"/>
        <v>23.6</v>
      </c>
      <c r="J174" s="147">
        <f t="shared" si="72"/>
        <v>23</v>
      </c>
      <c r="K174" s="527">
        <f t="shared" si="72"/>
        <v>29.923205081749884</v>
      </c>
      <c r="L174" s="527">
        <f t="shared" si="72"/>
        <v>28.130254952886848</v>
      </c>
      <c r="M174" s="527">
        <f t="shared" si="72"/>
        <v>26.202410137380824</v>
      </c>
      <c r="N174" s="527">
        <f t="shared" si="72"/>
        <v>27.527392721516449</v>
      </c>
      <c r="O174" s="527">
        <f t="shared" si="72"/>
        <v>28.792352944541094</v>
      </c>
    </row>
    <row r="175" spans="2:16" outlineLevel="1">
      <c r="F175" s="449"/>
      <c r="G175" s="204"/>
      <c r="H175" s="150"/>
      <c r="I175" s="150"/>
      <c r="J175" s="204"/>
      <c r="K175" s="204"/>
      <c r="L175" s="204"/>
      <c r="M175" s="206"/>
      <c r="N175" s="204"/>
      <c r="O175" s="204"/>
    </row>
    <row r="176" spans="2:16" outlineLevel="1">
      <c r="C176" t="s">
        <v>145</v>
      </c>
      <c r="F176" s="444" t="s">
        <v>216</v>
      </c>
      <c r="G176" s="204"/>
      <c r="H176" s="234">
        <v>0.70000000000000018</v>
      </c>
      <c r="I176" s="234">
        <v>6.9</v>
      </c>
      <c r="J176" s="234">
        <v>8</v>
      </c>
      <c r="K176" s="208">
        <f>J176+K238</f>
        <v>9.75</v>
      </c>
      <c r="L176" s="208">
        <f t="shared" ref="L176:O176" si="73">K176+L238</f>
        <v>11.5</v>
      </c>
      <c r="M176" s="208">
        <f t="shared" si="73"/>
        <v>13.25</v>
      </c>
      <c r="N176" s="208">
        <f t="shared" si="73"/>
        <v>15.000000000000002</v>
      </c>
      <c r="O176" s="208">
        <f t="shared" si="73"/>
        <v>16.75</v>
      </c>
      <c r="P176" s="184"/>
    </row>
    <row r="177" spans="1:16" outlineLevel="1">
      <c r="C177" s="18" t="s">
        <v>130</v>
      </c>
      <c r="F177" s="444" t="s">
        <v>217</v>
      </c>
      <c r="G177" s="235"/>
      <c r="H177" s="181">
        <v>250</v>
      </c>
      <c r="I177" s="181">
        <v>225</v>
      </c>
      <c r="J177" s="181">
        <v>200</v>
      </c>
      <c r="K177" s="529">
        <f>K316</f>
        <v>175</v>
      </c>
      <c r="L177" s="529">
        <f t="shared" ref="L177:O177" si="74">L316</f>
        <v>150</v>
      </c>
      <c r="M177" s="529">
        <f t="shared" si="74"/>
        <v>125</v>
      </c>
      <c r="N177" s="529">
        <f t="shared" si="74"/>
        <v>100</v>
      </c>
      <c r="O177" s="529">
        <f t="shared" si="74"/>
        <v>75</v>
      </c>
      <c r="P177" s="184"/>
    </row>
    <row r="178" spans="1:16" outlineLevel="1">
      <c r="C178" s="107" t="s">
        <v>22</v>
      </c>
      <c r="F178" s="445" t="s">
        <v>210</v>
      </c>
      <c r="G178" s="209"/>
      <c r="H178" s="206">
        <f t="shared" ref="H178:O178" si="75">SUM(H176:H177)</f>
        <v>250.7</v>
      </c>
      <c r="I178" s="206">
        <f t="shared" si="75"/>
        <v>231.9</v>
      </c>
      <c r="J178" s="206">
        <f t="shared" si="75"/>
        <v>208</v>
      </c>
      <c r="K178" s="208">
        <f t="shared" si="75"/>
        <v>184.75</v>
      </c>
      <c r="L178" s="208">
        <f t="shared" si="75"/>
        <v>161.5</v>
      </c>
      <c r="M178" s="208">
        <f t="shared" si="75"/>
        <v>138.25</v>
      </c>
      <c r="N178" s="208">
        <f t="shared" si="75"/>
        <v>115</v>
      </c>
      <c r="O178" s="208">
        <f t="shared" si="75"/>
        <v>91.75</v>
      </c>
      <c r="P178" s="184"/>
    </row>
    <row r="179" spans="1:16" outlineLevel="1">
      <c r="C179" s="97"/>
      <c r="F179" s="449"/>
      <c r="G179" s="204"/>
      <c r="H179" s="150"/>
      <c r="I179" s="150"/>
      <c r="J179" s="204"/>
      <c r="K179" s="204"/>
      <c r="L179" s="204"/>
      <c r="M179" s="204"/>
      <c r="N179" s="204"/>
      <c r="O179" s="204"/>
    </row>
    <row r="180" spans="1:16" outlineLevel="1">
      <c r="C180" s="107" t="s">
        <v>23</v>
      </c>
      <c r="F180" s="445" t="s">
        <v>210</v>
      </c>
      <c r="G180" s="154"/>
      <c r="H180" s="149">
        <f>H178+H174</f>
        <v>273.7</v>
      </c>
      <c r="I180" s="149">
        <f>I178+I174</f>
        <v>255.5</v>
      </c>
      <c r="J180" s="149">
        <f>J178+J174</f>
        <v>231</v>
      </c>
      <c r="K180" s="179">
        <f>K174+K178</f>
        <v>214.67320508174987</v>
      </c>
      <c r="L180" s="179">
        <f t="shared" ref="L180:O180" si="76">L174+L178</f>
        <v>189.63025495288684</v>
      </c>
      <c r="M180" s="179">
        <f t="shared" si="76"/>
        <v>164.45241013738081</v>
      </c>
      <c r="N180" s="179">
        <f t="shared" si="76"/>
        <v>142.52739272151643</v>
      </c>
      <c r="O180" s="179">
        <f t="shared" si="76"/>
        <v>120.54235294454109</v>
      </c>
    </row>
    <row r="181" spans="1:16" outlineLevel="1">
      <c r="F181" s="449"/>
      <c r="G181" s="150"/>
      <c r="H181" s="150"/>
      <c r="I181" s="150"/>
      <c r="J181" s="204"/>
      <c r="K181" s="204"/>
      <c r="L181" s="204"/>
      <c r="M181" s="204"/>
      <c r="N181" s="204"/>
      <c r="O181" s="204"/>
    </row>
    <row r="182" spans="1:16" outlineLevel="1">
      <c r="C182" t="s">
        <v>114</v>
      </c>
      <c r="F182" s="444" t="s">
        <v>213</v>
      </c>
      <c r="G182" s="150"/>
      <c r="H182" s="216">
        <v>120</v>
      </c>
      <c r="I182" s="216">
        <v>120</v>
      </c>
      <c r="J182" s="216">
        <v>120</v>
      </c>
      <c r="K182" s="208">
        <f>K336</f>
        <v>120</v>
      </c>
      <c r="L182" s="208">
        <f t="shared" ref="L182:O182" si="77">L336</f>
        <v>120</v>
      </c>
      <c r="M182" s="208">
        <f t="shared" si="77"/>
        <v>120</v>
      </c>
      <c r="N182" s="208">
        <f t="shared" si="77"/>
        <v>120</v>
      </c>
      <c r="O182" s="208">
        <f t="shared" si="77"/>
        <v>120</v>
      </c>
      <c r="P182" s="184"/>
    </row>
    <row r="183" spans="1:16" outlineLevel="1">
      <c r="C183" t="s">
        <v>117</v>
      </c>
      <c r="F183" s="444" t="s">
        <v>213</v>
      </c>
      <c r="G183" s="236"/>
      <c r="H183" s="181">
        <v>119.70000000000002</v>
      </c>
      <c r="I183" s="181">
        <v>138.70000000000007</v>
      </c>
      <c r="J183" s="181">
        <v>138.5</v>
      </c>
      <c r="K183" s="529">
        <f>K347</f>
        <v>155.68303655913979</v>
      </c>
      <c r="L183" s="529">
        <f t="shared" ref="L183:O183" si="78">L347</f>
        <v>180.50696264556194</v>
      </c>
      <c r="M183" s="529">
        <f t="shared" si="78"/>
        <v>211.32923946812974</v>
      </c>
      <c r="N183" s="529">
        <f t="shared" si="78"/>
        <v>235.5600140166369</v>
      </c>
      <c r="O183" s="529">
        <f t="shared" si="78"/>
        <v>250.73280496988605</v>
      </c>
      <c r="P183" s="184"/>
    </row>
    <row r="184" spans="1:16" outlineLevel="1">
      <c r="C184" s="97" t="s">
        <v>24</v>
      </c>
      <c r="F184" s="445" t="s">
        <v>210</v>
      </c>
      <c r="G184" s="209"/>
      <c r="H184" s="212">
        <f t="shared" ref="H184:O184" si="79">SUM(H182:H183)</f>
        <v>239.70000000000002</v>
      </c>
      <c r="I184" s="212">
        <f t="shared" si="79"/>
        <v>258.70000000000005</v>
      </c>
      <c r="J184" s="212">
        <f t="shared" si="79"/>
        <v>258.5</v>
      </c>
      <c r="K184" s="536">
        <f t="shared" si="79"/>
        <v>275.68303655913979</v>
      </c>
      <c r="L184" s="536">
        <f t="shared" si="79"/>
        <v>300.50696264556194</v>
      </c>
      <c r="M184" s="536">
        <f t="shared" si="79"/>
        <v>331.32923946812974</v>
      </c>
      <c r="N184" s="536">
        <f t="shared" si="79"/>
        <v>355.5600140166369</v>
      </c>
      <c r="O184" s="536">
        <f t="shared" si="79"/>
        <v>370.73280496988605</v>
      </c>
      <c r="P184" s="184"/>
    </row>
    <row r="185" spans="1:16" outlineLevel="1">
      <c r="F185" s="449"/>
      <c r="G185" s="150"/>
      <c r="H185" s="204"/>
      <c r="I185" s="204"/>
      <c r="J185" s="204"/>
      <c r="K185" s="204"/>
      <c r="L185" s="204"/>
      <c r="M185" s="204"/>
      <c r="N185" s="204"/>
      <c r="O185" s="204"/>
    </row>
    <row r="186" spans="1:16" ht="13.5" outlineLevel="1" thickBot="1">
      <c r="B186" s="97" t="s">
        <v>25</v>
      </c>
      <c r="F186" s="445" t="s">
        <v>210</v>
      </c>
      <c r="G186" s="154"/>
      <c r="H186" s="156">
        <f>H184+H180</f>
        <v>513.4</v>
      </c>
      <c r="I186" s="156">
        <f>I184+I180</f>
        <v>514.20000000000005</v>
      </c>
      <c r="J186" s="156">
        <f>J184+J180</f>
        <v>489.5</v>
      </c>
      <c r="K186" s="530">
        <f>K180+K184</f>
        <v>490.35624164088966</v>
      </c>
      <c r="L186" s="530">
        <f t="shared" ref="L186:O186" si="80">L180+L184</f>
        <v>490.13721759844879</v>
      </c>
      <c r="M186" s="530">
        <f t="shared" si="80"/>
        <v>495.78164960551055</v>
      </c>
      <c r="N186" s="530">
        <f t="shared" si="80"/>
        <v>498.08740673815333</v>
      </c>
      <c r="O186" s="530">
        <f t="shared" si="80"/>
        <v>491.27515791442715</v>
      </c>
    </row>
    <row r="187" spans="1:16" ht="13.5" outlineLevel="1" thickTop="1">
      <c r="F187" s="237"/>
      <c r="G187" s="237"/>
      <c r="H187" s="238"/>
      <c r="I187" s="238"/>
      <c r="J187" s="238"/>
      <c r="K187" s="238"/>
      <c r="L187" s="238"/>
      <c r="M187" s="238"/>
      <c r="N187" s="238"/>
      <c r="O187" s="238"/>
    </row>
    <row r="188" spans="1:16" outlineLevel="1">
      <c r="B188" s="200"/>
      <c r="D188" s="239" t="s">
        <v>26</v>
      </c>
      <c r="F188" s="240"/>
      <c r="G188" s="240"/>
      <c r="H188" s="241">
        <f>ROUND(H167-H186,3)</f>
        <v>0</v>
      </c>
      <c r="I188" s="241">
        <f t="shared" ref="I188:O188" si="81">ROUND(I167-I186,3)</f>
        <v>0</v>
      </c>
      <c r="J188" s="241">
        <f t="shared" si="81"/>
        <v>0</v>
      </c>
      <c r="K188" s="241">
        <f t="shared" si="81"/>
        <v>0</v>
      </c>
      <c r="L188" s="241">
        <f t="shared" si="81"/>
        <v>0</v>
      </c>
      <c r="M188" s="241">
        <f t="shared" si="81"/>
        <v>0</v>
      </c>
      <c r="N188" s="241">
        <f t="shared" si="81"/>
        <v>0</v>
      </c>
      <c r="O188" s="241">
        <f t="shared" si="81"/>
        <v>0</v>
      </c>
    </row>
    <row r="189" spans="1:16" outlineLevel="1">
      <c r="B189" s="242"/>
      <c r="C189" s="10"/>
      <c r="D189" s="10"/>
      <c r="E189" s="10"/>
      <c r="F189" s="10"/>
      <c r="G189" s="10"/>
      <c r="H189" s="10"/>
      <c r="I189" s="10"/>
      <c r="J189" s="10"/>
      <c r="K189" s="243"/>
      <c r="L189" s="243"/>
      <c r="M189" s="243"/>
      <c r="N189" s="243"/>
      <c r="O189" s="243"/>
    </row>
    <row r="190" spans="1:16">
      <c r="F190"/>
    </row>
    <row r="191" spans="1:16" ht="12.75" customHeight="1">
      <c r="A191" s="88"/>
      <c r="B191" s="1"/>
      <c r="C191" s="3"/>
      <c r="D191" s="3"/>
      <c r="E191" s="3"/>
      <c r="F191" s="87"/>
      <c r="G191" s="3"/>
      <c r="H191" s="3"/>
      <c r="I191" s="3"/>
      <c r="J191" s="3"/>
      <c r="K191" s="3"/>
      <c r="L191" s="3"/>
      <c r="M191" s="3"/>
      <c r="N191" s="3"/>
      <c r="O191" s="131" t="str">
        <f>$O$1</f>
        <v>CURRENTLY RUNNING: BASE CASE SCENARIO</v>
      </c>
    </row>
    <row r="192" spans="1:16" ht="42" customHeight="1">
      <c r="B192" s="457" t="str">
        <f>B$2</f>
        <v>Blu Containers</v>
      </c>
      <c r="C192" s="457"/>
      <c r="D192" s="457"/>
      <c r="E192" s="457"/>
      <c r="F192" s="457"/>
      <c r="G192" s="457"/>
      <c r="H192" s="457"/>
      <c r="I192" s="457"/>
      <c r="J192" s="457"/>
      <c r="K192" s="457"/>
      <c r="L192" s="457"/>
      <c r="M192" s="457"/>
      <c r="N192" s="457"/>
      <c r="O192" s="457"/>
    </row>
    <row r="193" spans="1:242" ht="18">
      <c r="B193" s="453" t="s">
        <v>200</v>
      </c>
      <c r="C193" s="453"/>
      <c r="D193" s="453"/>
      <c r="E193" s="453"/>
      <c r="F193" s="453"/>
      <c r="G193" s="453"/>
      <c r="H193" s="453"/>
      <c r="I193" s="453"/>
      <c r="J193" s="453"/>
      <c r="K193" s="453"/>
      <c r="L193" s="453"/>
      <c r="M193" s="453"/>
      <c r="N193" s="453"/>
      <c r="O193" s="453"/>
    </row>
    <row r="194" spans="1:242" ht="3" customHeight="1">
      <c r="A194" s="89"/>
      <c r="B194" s="457"/>
      <c r="C194" s="457"/>
      <c r="D194" s="457"/>
      <c r="E194" s="457"/>
      <c r="F194" s="457"/>
      <c r="G194" s="457"/>
      <c r="H194" s="457"/>
      <c r="I194" s="457"/>
      <c r="J194" s="457"/>
      <c r="K194" s="457"/>
      <c r="L194" s="457"/>
      <c r="M194" s="457"/>
      <c r="N194" s="457"/>
      <c r="O194" s="457"/>
    </row>
    <row r="195" spans="1:242" outlineLevel="1">
      <c r="B195" s="165" t="s">
        <v>171</v>
      </c>
      <c r="C195" s="200"/>
      <c r="E195" s="93"/>
      <c r="G195" s="200"/>
    </row>
    <row r="196" spans="1:242" outlineLevel="1">
      <c r="E196" s="93"/>
      <c r="K196" s="95" t="s">
        <v>2</v>
      </c>
      <c r="L196" s="244"/>
      <c r="M196" s="244"/>
      <c r="N196" s="244"/>
      <c r="O196" s="244"/>
    </row>
    <row r="197" spans="1:242" outlineLevel="1">
      <c r="C197" s="120"/>
      <c r="D197" s="120"/>
      <c r="E197" s="148"/>
      <c r="F197" s="245"/>
      <c r="G197" s="132"/>
      <c r="H197" s="356">
        <f t="shared" ref="H197:O197" si="82">H$7</f>
        <v>2024</v>
      </c>
      <c r="I197" s="356">
        <f t="shared" si="82"/>
        <v>2025</v>
      </c>
      <c r="J197" s="356">
        <f t="shared" si="82"/>
        <v>2026</v>
      </c>
      <c r="K197" s="359">
        <f t="shared" si="82"/>
        <v>2027</v>
      </c>
      <c r="L197" s="359">
        <f t="shared" si="82"/>
        <v>2028</v>
      </c>
      <c r="M197" s="359">
        <f t="shared" si="82"/>
        <v>2029</v>
      </c>
      <c r="N197" s="359">
        <f t="shared" si="82"/>
        <v>2030</v>
      </c>
      <c r="O197" s="359">
        <f t="shared" si="82"/>
        <v>2031</v>
      </c>
    </row>
    <row r="198" spans="1:242" outlineLevel="1"/>
    <row r="199" spans="1:242" ht="13.35" customHeight="1" outlineLevel="1">
      <c r="A199" s="246"/>
      <c r="B199" s="247" t="s">
        <v>193</v>
      </c>
      <c r="C199" s="4"/>
      <c r="D199" s="4"/>
      <c r="E199" s="4"/>
      <c r="F199" s="542">
        <f>Assumptions!H$39</f>
        <v>25</v>
      </c>
      <c r="K199" s="248"/>
      <c r="L199" s="249"/>
      <c r="M199" s="249"/>
      <c r="N199" s="249"/>
      <c r="P199" s="250"/>
      <c r="Q199" s="250"/>
      <c r="R199" s="250"/>
      <c r="S199" s="250"/>
      <c r="T199" s="250"/>
      <c r="U199" s="250"/>
      <c r="V199" s="250"/>
      <c r="W199" s="250"/>
      <c r="X199" s="250"/>
      <c r="Y199" s="250"/>
      <c r="Z199" s="250"/>
      <c r="AA199" s="250"/>
      <c r="AB199" s="250"/>
      <c r="AC199" s="250"/>
      <c r="AD199" s="250"/>
      <c r="AE199" s="250"/>
      <c r="AF199" s="250"/>
      <c r="AG199" s="250"/>
      <c r="AH199" s="250"/>
      <c r="AI199" s="250"/>
      <c r="AJ199" s="250"/>
      <c r="AK199" s="250"/>
      <c r="AL199" s="250"/>
      <c r="AM199" s="250"/>
      <c r="AN199" s="250"/>
      <c r="AO199" s="250"/>
      <c r="AP199" s="250"/>
      <c r="AQ199" s="250"/>
      <c r="AR199" s="250"/>
      <c r="AS199" s="250"/>
      <c r="AT199" s="250"/>
      <c r="AU199" s="250"/>
      <c r="AV199" s="250"/>
      <c r="AW199" s="250"/>
      <c r="AX199" s="250"/>
      <c r="AY199" s="250"/>
      <c r="AZ199" s="250"/>
      <c r="BA199" s="250"/>
      <c r="BB199" s="250"/>
      <c r="BC199" s="250"/>
      <c r="BD199" s="250"/>
      <c r="BE199" s="250"/>
      <c r="BF199" s="250"/>
      <c r="BG199" s="250"/>
      <c r="BH199" s="250"/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0"/>
      <c r="BS199" s="250"/>
      <c r="BT199" s="250"/>
      <c r="BU199" s="250"/>
      <c r="BV199" s="250"/>
      <c r="BW199" s="250"/>
      <c r="BX199" s="250"/>
      <c r="BY199" s="250"/>
      <c r="BZ199" s="250"/>
      <c r="CA199" s="250"/>
      <c r="CB199" s="250"/>
      <c r="CC199" s="250"/>
      <c r="CD199" s="250"/>
      <c r="CE199" s="250"/>
      <c r="CF199" s="250"/>
      <c r="CG199" s="250"/>
      <c r="CH199" s="250"/>
      <c r="CI199" s="250"/>
      <c r="CJ199" s="250"/>
      <c r="CK199" s="250"/>
      <c r="CL199" s="250"/>
      <c r="CM199" s="250"/>
      <c r="CN199" s="250"/>
      <c r="CO199" s="250"/>
      <c r="CP199" s="250"/>
      <c r="CQ199" s="250"/>
      <c r="CR199" s="250"/>
      <c r="CS199" s="250"/>
      <c r="CT199" s="250"/>
      <c r="CU199" s="250"/>
      <c r="CV199" s="250"/>
      <c r="CW199" s="250"/>
      <c r="CX199" s="250"/>
      <c r="CY199" s="250"/>
      <c r="CZ199" s="250"/>
      <c r="DA199" s="250"/>
      <c r="DB199" s="250"/>
      <c r="DC199" s="250"/>
      <c r="DD199" s="250"/>
      <c r="DE199" s="250"/>
      <c r="DF199" s="250"/>
      <c r="DG199" s="250"/>
      <c r="DH199" s="250"/>
      <c r="DI199" s="250"/>
      <c r="DJ199" s="250"/>
      <c r="DK199" s="250"/>
      <c r="DL199" s="250"/>
      <c r="DM199" s="250"/>
      <c r="DN199" s="250"/>
      <c r="DO199" s="250"/>
      <c r="DP199" s="250"/>
      <c r="DQ199" s="250"/>
      <c r="DR199" s="250"/>
      <c r="DS199" s="250"/>
      <c r="DT199" s="250"/>
      <c r="DU199" s="250"/>
      <c r="DV199" s="250"/>
      <c r="DW199" s="250"/>
      <c r="DX199" s="250"/>
      <c r="DY199" s="250"/>
      <c r="DZ199" s="250"/>
      <c r="EA199" s="250"/>
      <c r="EB199" s="250"/>
      <c r="EC199" s="250"/>
      <c r="ED199" s="250"/>
      <c r="EE199" s="250"/>
      <c r="EF199" s="250"/>
      <c r="EG199" s="250"/>
      <c r="EH199" s="250"/>
      <c r="EI199" s="250"/>
      <c r="EJ199" s="250"/>
      <c r="EK199" s="250"/>
      <c r="EL199" s="250"/>
      <c r="EM199" s="250"/>
      <c r="EN199" s="250"/>
      <c r="EO199" s="250"/>
      <c r="EP199" s="250"/>
      <c r="EQ199" s="250"/>
      <c r="ER199" s="250"/>
      <c r="ES199" s="250"/>
      <c r="ET199" s="250"/>
      <c r="EU199" s="250"/>
      <c r="EV199" s="250"/>
      <c r="EW199" s="250"/>
      <c r="EX199" s="250"/>
      <c r="EY199" s="250"/>
      <c r="EZ199" s="250"/>
      <c r="FA199" s="250"/>
      <c r="FB199" s="250"/>
      <c r="FC199" s="250"/>
      <c r="FD199" s="250"/>
      <c r="FE199" s="250"/>
      <c r="FF199" s="250"/>
      <c r="FG199" s="250"/>
      <c r="FH199" s="250"/>
      <c r="FI199" s="250"/>
      <c r="FJ199" s="250"/>
      <c r="FK199" s="250"/>
      <c r="FL199" s="250"/>
      <c r="FM199" s="250"/>
      <c r="FN199" s="250"/>
      <c r="FO199" s="250"/>
      <c r="FP199" s="250"/>
      <c r="FQ199" s="250"/>
      <c r="FR199" s="250"/>
      <c r="FS199" s="250"/>
      <c r="FT199" s="250"/>
      <c r="FU199" s="250"/>
      <c r="FV199" s="250"/>
      <c r="FW199" s="250"/>
      <c r="FX199" s="250"/>
      <c r="FY199" s="250"/>
      <c r="FZ199" s="250"/>
      <c r="GA199" s="250"/>
      <c r="GB199" s="250"/>
      <c r="GC199" s="250"/>
      <c r="GD199" s="250"/>
      <c r="GE199" s="250"/>
      <c r="GF199" s="250"/>
      <c r="GG199" s="250"/>
      <c r="GH199" s="250"/>
      <c r="GI199" s="250"/>
      <c r="GJ199" s="250"/>
      <c r="GK199" s="250"/>
      <c r="GL199" s="250"/>
      <c r="GM199" s="250"/>
      <c r="GN199" s="250"/>
      <c r="GO199" s="250"/>
      <c r="GP199" s="250"/>
      <c r="GQ199" s="250"/>
      <c r="GR199" s="250"/>
      <c r="GS199" s="250"/>
      <c r="GT199" s="250"/>
      <c r="GU199" s="250"/>
      <c r="GV199" s="250"/>
      <c r="GW199" s="250"/>
      <c r="GX199" s="250"/>
      <c r="GY199" s="250"/>
      <c r="GZ199" s="250"/>
      <c r="HA199" s="250"/>
      <c r="HB199" s="250"/>
      <c r="HC199" s="250"/>
      <c r="HD199" s="250"/>
      <c r="HE199" s="250"/>
      <c r="HF199" s="250"/>
      <c r="HG199" s="250"/>
      <c r="HH199" s="250"/>
      <c r="HI199" s="250"/>
      <c r="HJ199" s="250"/>
      <c r="HK199" s="250"/>
      <c r="HL199" s="250"/>
      <c r="HM199" s="250"/>
      <c r="HN199" s="250"/>
      <c r="HO199" s="250"/>
      <c r="HP199" s="250"/>
      <c r="HQ199" s="250"/>
      <c r="HR199" s="250"/>
      <c r="HS199" s="250"/>
      <c r="HT199" s="250"/>
      <c r="HU199" s="250"/>
      <c r="HV199" s="250"/>
      <c r="HW199" s="250"/>
      <c r="HX199" s="250"/>
      <c r="HY199" s="250"/>
      <c r="HZ199" s="250"/>
      <c r="IA199" s="250"/>
      <c r="IB199" s="250"/>
      <c r="IC199" s="250"/>
      <c r="ID199" s="250"/>
      <c r="IE199" s="250"/>
      <c r="IF199" s="250"/>
      <c r="IG199" s="250"/>
      <c r="IH199" s="250"/>
    </row>
    <row r="200" spans="1:242" ht="13.35" customHeight="1" outlineLevel="1">
      <c r="A200" s="246"/>
      <c r="B200" s="251" t="s">
        <v>140</v>
      </c>
      <c r="C200" s="10"/>
      <c r="D200" s="252"/>
      <c r="E200" s="253"/>
      <c r="F200" s="543">
        <f>Assumptions!H40</f>
        <v>30</v>
      </c>
      <c r="K200" s="248"/>
      <c r="L200" s="249"/>
      <c r="M200" s="249"/>
      <c r="N200" s="249"/>
      <c r="P200" s="250"/>
      <c r="Q200" s="250"/>
      <c r="R200" s="250"/>
      <c r="S200" s="250"/>
      <c r="T200" s="250"/>
      <c r="U200" s="250"/>
      <c r="V200" s="250"/>
      <c r="W200" s="250"/>
      <c r="X200" s="250"/>
      <c r="Y200" s="250"/>
      <c r="Z200" s="250"/>
      <c r="AA200" s="250"/>
      <c r="AB200" s="250"/>
      <c r="AC200" s="250"/>
      <c r="AD200" s="250"/>
      <c r="AE200" s="250"/>
      <c r="AF200" s="250"/>
      <c r="AG200" s="250"/>
      <c r="AH200" s="250"/>
      <c r="AI200" s="250"/>
      <c r="AJ200" s="250"/>
      <c r="AK200" s="250"/>
      <c r="AL200" s="250"/>
      <c r="AM200" s="250"/>
      <c r="AN200" s="250"/>
      <c r="AO200" s="250"/>
      <c r="AP200" s="250"/>
      <c r="AQ200" s="250"/>
      <c r="AR200" s="250"/>
      <c r="AS200" s="250"/>
      <c r="AT200" s="250"/>
      <c r="AU200" s="250"/>
      <c r="AV200" s="250"/>
      <c r="AW200" s="250"/>
      <c r="AX200" s="250"/>
      <c r="AY200" s="250"/>
      <c r="AZ200" s="250"/>
      <c r="BA200" s="250"/>
      <c r="BB200" s="250"/>
      <c r="BC200" s="250"/>
      <c r="BD200" s="250"/>
      <c r="BE200" s="250"/>
      <c r="BF200" s="250"/>
      <c r="BG200" s="250"/>
      <c r="BH200" s="250"/>
      <c r="BI200" s="250"/>
      <c r="BJ200" s="250"/>
      <c r="BK200" s="250"/>
      <c r="BL200" s="250"/>
      <c r="BM200" s="250"/>
      <c r="BN200" s="250"/>
      <c r="BO200" s="250"/>
      <c r="BP200" s="250"/>
      <c r="BQ200" s="250"/>
      <c r="BR200" s="250"/>
      <c r="BS200" s="250"/>
      <c r="BT200" s="250"/>
      <c r="BU200" s="250"/>
      <c r="BV200" s="250"/>
      <c r="BW200" s="250"/>
      <c r="BX200" s="250"/>
      <c r="BY200" s="250"/>
      <c r="BZ200" s="250"/>
      <c r="CA200" s="250"/>
      <c r="CB200" s="250"/>
      <c r="CC200" s="250"/>
      <c r="CD200" s="250"/>
      <c r="CE200" s="250"/>
      <c r="CF200" s="250"/>
      <c r="CG200" s="250"/>
      <c r="CH200" s="250"/>
      <c r="CI200" s="250"/>
      <c r="CJ200" s="250"/>
      <c r="CK200" s="250"/>
      <c r="CL200" s="250"/>
      <c r="CM200" s="250"/>
      <c r="CN200" s="250"/>
      <c r="CO200" s="250"/>
      <c r="CP200" s="250"/>
      <c r="CQ200" s="250"/>
      <c r="CR200" s="250"/>
      <c r="CS200" s="250"/>
      <c r="CT200" s="250"/>
      <c r="CU200" s="250"/>
      <c r="CV200" s="250"/>
      <c r="CW200" s="250"/>
      <c r="CX200" s="250"/>
      <c r="CY200" s="250"/>
      <c r="CZ200" s="250"/>
      <c r="DA200" s="250"/>
      <c r="DB200" s="250"/>
      <c r="DC200" s="250"/>
      <c r="DD200" s="250"/>
      <c r="DE200" s="250"/>
      <c r="DF200" s="250"/>
      <c r="DG200" s="250"/>
      <c r="DH200" s="250"/>
      <c r="DI200" s="250"/>
      <c r="DJ200" s="250"/>
      <c r="DK200" s="250"/>
      <c r="DL200" s="250"/>
      <c r="DM200" s="250"/>
      <c r="DN200" s="250"/>
      <c r="DO200" s="250"/>
      <c r="DP200" s="250"/>
      <c r="DQ200" s="250"/>
      <c r="DR200" s="250"/>
      <c r="DS200" s="250"/>
      <c r="DT200" s="250"/>
      <c r="DU200" s="250"/>
      <c r="DV200" s="250"/>
      <c r="DW200" s="250"/>
      <c r="DX200" s="250"/>
      <c r="DY200" s="250"/>
      <c r="DZ200" s="250"/>
      <c r="EA200" s="250"/>
      <c r="EB200" s="250"/>
      <c r="EC200" s="250"/>
      <c r="ED200" s="250"/>
      <c r="EE200" s="250"/>
      <c r="EF200" s="250"/>
      <c r="EG200" s="250"/>
      <c r="EH200" s="250"/>
      <c r="EI200" s="250"/>
      <c r="EJ200" s="250"/>
      <c r="EK200" s="250"/>
      <c r="EL200" s="250"/>
      <c r="EM200" s="250"/>
      <c r="EN200" s="250"/>
      <c r="EO200" s="250"/>
      <c r="EP200" s="250"/>
      <c r="EQ200" s="250"/>
      <c r="ER200" s="250"/>
      <c r="ES200" s="250"/>
      <c r="ET200" s="250"/>
      <c r="EU200" s="250"/>
      <c r="EV200" s="250"/>
      <c r="EW200" s="250"/>
      <c r="EX200" s="250"/>
      <c r="EY200" s="250"/>
      <c r="EZ200" s="250"/>
      <c r="FA200" s="250"/>
      <c r="FB200" s="250"/>
      <c r="FC200" s="250"/>
      <c r="FD200" s="250"/>
      <c r="FE200" s="250"/>
      <c r="FF200" s="250"/>
      <c r="FG200" s="250"/>
      <c r="FH200" s="250"/>
      <c r="FI200" s="250"/>
      <c r="FJ200" s="250"/>
      <c r="FK200" s="250"/>
      <c r="FL200" s="250"/>
      <c r="FM200" s="250"/>
      <c r="FN200" s="250"/>
      <c r="FO200" s="250"/>
      <c r="FP200" s="250"/>
      <c r="FQ200" s="250"/>
      <c r="FR200" s="250"/>
      <c r="FS200" s="250"/>
      <c r="FT200" s="250"/>
      <c r="FU200" s="250"/>
      <c r="FV200" s="250"/>
      <c r="FW200" s="250"/>
      <c r="FX200" s="250"/>
      <c r="FY200" s="250"/>
      <c r="FZ200" s="250"/>
      <c r="GA200" s="250"/>
      <c r="GB200" s="250"/>
      <c r="GC200" s="250"/>
      <c r="GD200" s="250"/>
      <c r="GE200" s="250"/>
      <c r="GF200" s="250"/>
      <c r="GG200" s="250"/>
      <c r="GH200" s="250"/>
      <c r="GI200" s="250"/>
      <c r="GJ200" s="250"/>
      <c r="GK200" s="250"/>
      <c r="GL200" s="250"/>
      <c r="GM200" s="250"/>
      <c r="GN200" s="250"/>
      <c r="GO200" s="250"/>
      <c r="GP200" s="250"/>
      <c r="GQ200" s="250"/>
      <c r="GR200" s="250"/>
      <c r="GS200" s="250"/>
      <c r="GT200" s="250"/>
      <c r="GU200" s="250"/>
      <c r="GV200" s="250"/>
      <c r="GW200" s="250"/>
      <c r="GX200" s="250"/>
      <c r="GY200" s="250"/>
      <c r="GZ200" s="250"/>
      <c r="HA200" s="250"/>
      <c r="HB200" s="250"/>
      <c r="HC200" s="250"/>
      <c r="HD200" s="250"/>
      <c r="HE200" s="250"/>
      <c r="HF200" s="250"/>
      <c r="HG200" s="250"/>
      <c r="HH200" s="250"/>
      <c r="HI200" s="250"/>
      <c r="HJ200" s="250"/>
      <c r="HK200" s="250"/>
      <c r="HL200" s="250"/>
      <c r="HM200" s="250"/>
      <c r="HN200" s="250"/>
      <c r="HO200" s="250"/>
      <c r="HP200" s="250"/>
      <c r="HQ200" s="250"/>
      <c r="HR200" s="250"/>
      <c r="HS200" s="250"/>
      <c r="HT200" s="250"/>
      <c r="HU200" s="250"/>
      <c r="HV200" s="250"/>
      <c r="HW200" s="250"/>
      <c r="HX200" s="250"/>
      <c r="HY200" s="250"/>
      <c r="HZ200" s="250"/>
      <c r="IA200" s="250"/>
      <c r="IB200" s="250"/>
      <c r="IC200" s="250"/>
      <c r="ID200" s="250"/>
      <c r="IE200" s="250"/>
      <c r="IF200" s="250"/>
      <c r="IG200" s="250"/>
      <c r="IH200" s="250"/>
    </row>
    <row r="201" spans="1:242" ht="13.35" customHeight="1" outlineLevel="1">
      <c r="A201" s="246"/>
      <c r="B201" s="436"/>
      <c r="D201" s="437"/>
      <c r="E201" s="438"/>
      <c r="F201" s="439"/>
      <c r="K201" s="248"/>
      <c r="L201" s="249"/>
      <c r="M201" s="249"/>
      <c r="N201" s="249"/>
      <c r="P201" s="250"/>
      <c r="Q201" s="250"/>
      <c r="R201" s="250"/>
      <c r="S201" s="250"/>
      <c r="T201" s="250"/>
      <c r="U201" s="250"/>
      <c r="V201" s="250"/>
      <c r="W201" s="250"/>
      <c r="X201" s="250"/>
      <c r="Y201" s="250"/>
      <c r="Z201" s="250"/>
      <c r="AA201" s="250"/>
      <c r="AB201" s="250"/>
      <c r="AC201" s="250"/>
      <c r="AD201" s="250"/>
      <c r="AE201" s="250"/>
      <c r="AF201" s="250"/>
      <c r="AG201" s="250"/>
      <c r="AH201" s="250"/>
      <c r="AI201" s="250"/>
      <c r="AJ201" s="250"/>
      <c r="AK201" s="250"/>
      <c r="AL201" s="250"/>
      <c r="AM201" s="250"/>
      <c r="AN201" s="250"/>
      <c r="AO201" s="250"/>
      <c r="AP201" s="250"/>
      <c r="AQ201" s="250"/>
      <c r="AR201" s="250"/>
      <c r="AS201" s="250"/>
      <c r="AT201" s="250"/>
      <c r="AU201" s="250"/>
      <c r="AV201" s="250"/>
      <c r="AW201" s="250"/>
      <c r="AX201" s="250"/>
      <c r="AY201" s="250"/>
      <c r="AZ201" s="250"/>
      <c r="BA201" s="250"/>
      <c r="BB201" s="250"/>
      <c r="BC201" s="250"/>
      <c r="BD201" s="250"/>
      <c r="BE201" s="250"/>
      <c r="BF201" s="250"/>
      <c r="BG201" s="250"/>
      <c r="BH201" s="250"/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0"/>
      <c r="BS201" s="250"/>
      <c r="BT201" s="250"/>
      <c r="BU201" s="250"/>
      <c r="BV201" s="250"/>
      <c r="BW201" s="250"/>
      <c r="BX201" s="250"/>
      <c r="BY201" s="250"/>
      <c r="BZ201" s="250"/>
      <c r="CA201" s="250"/>
      <c r="CB201" s="250"/>
      <c r="CC201" s="250"/>
      <c r="CD201" s="250"/>
      <c r="CE201" s="250"/>
      <c r="CF201" s="250"/>
      <c r="CG201" s="250"/>
      <c r="CH201" s="250"/>
      <c r="CI201" s="250"/>
      <c r="CJ201" s="250"/>
      <c r="CK201" s="250"/>
      <c r="CL201" s="250"/>
      <c r="CM201" s="250"/>
      <c r="CN201" s="250"/>
      <c r="CO201" s="250"/>
      <c r="CP201" s="250"/>
      <c r="CQ201" s="250"/>
      <c r="CR201" s="250"/>
      <c r="CS201" s="250"/>
      <c r="CT201" s="250"/>
      <c r="CU201" s="250"/>
      <c r="CV201" s="250"/>
      <c r="CW201" s="250"/>
      <c r="CX201" s="250"/>
      <c r="CY201" s="250"/>
      <c r="CZ201" s="250"/>
      <c r="DA201" s="250"/>
      <c r="DB201" s="250"/>
      <c r="DC201" s="250"/>
      <c r="DD201" s="250"/>
      <c r="DE201" s="250"/>
      <c r="DF201" s="250"/>
      <c r="DG201" s="250"/>
      <c r="DH201" s="250"/>
      <c r="DI201" s="250"/>
      <c r="DJ201" s="250"/>
      <c r="DK201" s="250"/>
      <c r="DL201" s="250"/>
      <c r="DM201" s="250"/>
      <c r="DN201" s="250"/>
      <c r="DO201" s="250"/>
      <c r="DP201" s="250"/>
      <c r="DQ201" s="250"/>
      <c r="DR201" s="250"/>
      <c r="DS201" s="250"/>
      <c r="DT201" s="250"/>
      <c r="DU201" s="250"/>
      <c r="DV201" s="250"/>
      <c r="DW201" s="250"/>
      <c r="DX201" s="250"/>
      <c r="DY201" s="250"/>
      <c r="DZ201" s="250"/>
      <c r="EA201" s="250"/>
      <c r="EB201" s="250"/>
      <c r="EC201" s="250"/>
      <c r="ED201" s="250"/>
      <c r="EE201" s="250"/>
      <c r="EF201" s="250"/>
      <c r="EG201" s="250"/>
      <c r="EH201" s="250"/>
      <c r="EI201" s="250"/>
      <c r="EJ201" s="250"/>
      <c r="EK201" s="250"/>
      <c r="EL201" s="250"/>
      <c r="EM201" s="250"/>
      <c r="EN201" s="250"/>
      <c r="EO201" s="250"/>
      <c r="EP201" s="250"/>
      <c r="EQ201" s="250"/>
      <c r="ER201" s="250"/>
      <c r="ES201" s="250"/>
      <c r="ET201" s="250"/>
      <c r="EU201" s="250"/>
      <c r="EV201" s="250"/>
      <c r="EW201" s="250"/>
      <c r="EX201" s="250"/>
      <c r="EY201" s="250"/>
      <c r="EZ201" s="250"/>
      <c r="FA201" s="250"/>
      <c r="FB201" s="250"/>
      <c r="FC201" s="250"/>
      <c r="FD201" s="250"/>
      <c r="FE201" s="250"/>
      <c r="FF201" s="250"/>
      <c r="FG201" s="250"/>
      <c r="FH201" s="250"/>
      <c r="FI201" s="250"/>
      <c r="FJ201" s="250"/>
      <c r="FK201" s="250"/>
      <c r="FL201" s="250"/>
      <c r="FM201" s="250"/>
      <c r="FN201" s="250"/>
      <c r="FO201" s="250"/>
      <c r="FP201" s="250"/>
      <c r="FQ201" s="250"/>
      <c r="FR201" s="250"/>
      <c r="FS201" s="250"/>
      <c r="FT201" s="250"/>
      <c r="FU201" s="250"/>
      <c r="FV201" s="250"/>
      <c r="FW201" s="250"/>
      <c r="FX201" s="250"/>
      <c r="FY201" s="250"/>
      <c r="FZ201" s="250"/>
      <c r="GA201" s="250"/>
      <c r="GB201" s="250"/>
      <c r="GC201" s="250"/>
      <c r="GD201" s="250"/>
      <c r="GE201" s="250"/>
      <c r="GF201" s="250"/>
      <c r="GG201" s="250"/>
      <c r="GH201" s="250"/>
      <c r="GI201" s="250"/>
      <c r="GJ201" s="250"/>
      <c r="GK201" s="250"/>
      <c r="GL201" s="250"/>
      <c r="GM201" s="250"/>
      <c r="GN201" s="250"/>
      <c r="GO201" s="250"/>
      <c r="GP201" s="250"/>
      <c r="GQ201" s="250"/>
      <c r="GR201" s="250"/>
      <c r="GS201" s="250"/>
      <c r="GT201" s="250"/>
      <c r="GU201" s="250"/>
      <c r="GV201" s="250"/>
      <c r="GW201" s="250"/>
      <c r="GX201" s="250"/>
      <c r="GY201" s="250"/>
      <c r="GZ201" s="250"/>
      <c r="HA201" s="250"/>
      <c r="HB201" s="250"/>
      <c r="HC201" s="250"/>
      <c r="HD201" s="250"/>
      <c r="HE201" s="250"/>
      <c r="HF201" s="250"/>
      <c r="HG201" s="250"/>
      <c r="HH201" s="250"/>
      <c r="HI201" s="250"/>
      <c r="HJ201" s="250"/>
      <c r="HK201" s="250"/>
      <c r="HL201" s="250"/>
      <c r="HM201" s="250"/>
      <c r="HN201" s="250"/>
      <c r="HO201" s="250"/>
      <c r="HP201" s="250"/>
      <c r="HQ201" s="250"/>
      <c r="HR201" s="250"/>
      <c r="HS201" s="250"/>
      <c r="HT201" s="250"/>
      <c r="HU201" s="250"/>
      <c r="HV201" s="250"/>
      <c r="HW201" s="250"/>
      <c r="HX201" s="250"/>
      <c r="HY201" s="250"/>
      <c r="HZ201" s="250"/>
      <c r="IA201" s="250"/>
      <c r="IB201" s="250"/>
      <c r="IC201" s="250"/>
      <c r="ID201" s="250"/>
      <c r="IE201" s="250"/>
      <c r="IF201" s="250"/>
      <c r="IG201" s="250"/>
      <c r="IH201" s="250"/>
    </row>
    <row r="202" spans="1:242" ht="13.35" customHeight="1" outlineLevel="1">
      <c r="A202" s="246"/>
      <c r="B202" s="436"/>
      <c r="D202" s="437" t="s">
        <v>199</v>
      </c>
      <c r="E202" s="438"/>
      <c r="F202" s="439"/>
      <c r="K202" s="440">
        <f>J216</f>
        <v>397.7</v>
      </c>
      <c r="L202" s="440">
        <f t="shared" ref="L202:O202" si="83">K216</f>
        <v>397.52533333333332</v>
      </c>
      <c r="M202" s="440">
        <f t="shared" si="83"/>
        <v>397.80066666666664</v>
      </c>
      <c r="N202" s="440">
        <f t="shared" si="83"/>
        <v>397.80433333333332</v>
      </c>
      <c r="O202" s="440">
        <f t="shared" si="83"/>
        <v>397.428</v>
      </c>
      <c r="P202" s="250"/>
      <c r="Q202" s="250"/>
      <c r="R202" s="250"/>
      <c r="S202" s="250"/>
      <c r="T202" s="250"/>
      <c r="U202" s="250"/>
      <c r="V202" s="250"/>
      <c r="W202" s="250"/>
      <c r="X202" s="250"/>
      <c r="Y202" s="250"/>
      <c r="Z202" s="250"/>
      <c r="AA202" s="250"/>
      <c r="AB202" s="250"/>
      <c r="AC202" s="250"/>
      <c r="AD202" s="250"/>
      <c r="AE202" s="250"/>
      <c r="AF202" s="250"/>
      <c r="AG202" s="250"/>
      <c r="AH202" s="250"/>
      <c r="AI202" s="250"/>
      <c r="AJ202" s="250"/>
      <c r="AK202" s="250"/>
      <c r="AL202" s="250"/>
      <c r="AM202" s="250"/>
      <c r="AN202" s="250"/>
      <c r="AO202" s="250"/>
      <c r="AP202" s="250"/>
      <c r="AQ202" s="250"/>
      <c r="AR202" s="250"/>
      <c r="AS202" s="250"/>
      <c r="AT202" s="250"/>
      <c r="AU202" s="250"/>
      <c r="AV202" s="250"/>
      <c r="AW202" s="250"/>
      <c r="AX202" s="250"/>
      <c r="AY202" s="250"/>
      <c r="AZ202" s="250"/>
      <c r="BA202" s="250"/>
      <c r="BB202" s="250"/>
      <c r="BC202" s="250"/>
      <c r="BD202" s="250"/>
      <c r="BE202" s="250"/>
      <c r="BF202" s="250"/>
      <c r="BG202" s="250"/>
      <c r="BH202" s="250"/>
      <c r="BI202" s="250"/>
      <c r="BJ202" s="250"/>
      <c r="BK202" s="250"/>
      <c r="BL202" s="250"/>
      <c r="BM202" s="250"/>
      <c r="BN202" s="250"/>
      <c r="BO202" s="250"/>
      <c r="BP202" s="250"/>
      <c r="BQ202" s="250"/>
      <c r="BR202" s="250"/>
      <c r="BS202" s="250"/>
      <c r="BT202" s="250"/>
      <c r="BU202" s="250"/>
      <c r="BV202" s="250"/>
      <c r="BW202" s="250"/>
      <c r="BX202" s="250"/>
      <c r="BY202" s="250"/>
      <c r="BZ202" s="250"/>
      <c r="CA202" s="250"/>
      <c r="CB202" s="250"/>
      <c r="CC202" s="250"/>
      <c r="CD202" s="250"/>
      <c r="CE202" s="250"/>
      <c r="CF202" s="250"/>
      <c r="CG202" s="250"/>
      <c r="CH202" s="250"/>
      <c r="CI202" s="250"/>
      <c r="CJ202" s="250"/>
      <c r="CK202" s="250"/>
      <c r="CL202" s="250"/>
      <c r="CM202" s="250"/>
      <c r="CN202" s="250"/>
      <c r="CO202" s="250"/>
      <c r="CP202" s="250"/>
      <c r="CQ202" s="250"/>
      <c r="CR202" s="250"/>
      <c r="CS202" s="250"/>
      <c r="CT202" s="250"/>
      <c r="CU202" s="250"/>
      <c r="CV202" s="250"/>
      <c r="CW202" s="250"/>
      <c r="CX202" s="250"/>
      <c r="CY202" s="250"/>
      <c r="CZ202" s="250"/>
      <c r="DA202" s="250"/>
      <c r="DB202" s="250"/>
      <c r="DC202" s="250"/>
      <c r="DD202" s="250"/>
      <c r="DE202" s="250"/>
      <c r="DF202" s="250"/>
      <c r="DG202" s="250"/>
      <c r="DH202" s="250"/>
      <c r="DI202" s="250"/>
      <c r="DJ202" s="250"/>
      <c r="DK202" s="250"/>
      <c r="DL202" s="250"/>
      <c r="DM202" s="250"/>
      <c r="DN202" s="250"/>
      <c r="DO202" s="250"/>
      <c r="DP202" s="250"/>
      <c r="DQ202" s="250"/>
      <c r="DR202" s="250"/>
      <c r="DS202" s="250"/>
      <c r="DT202" s="250"/>
      <c r="DU202" s="250"/>
      <c r="DV202" s="250"/>
      <c r="DW202" s="250"/>
      <c r="DX202" s="250"/>
      <c r="DY202" s="250"/>
      <c r="DZ202" s="250"/>
      <c r="EA202" s="250"/>
      <c r="EB202" s="250"/>
      <c r="EC202" s="250"/>
      <c r="ED202" s="250"/>
      <c r="EE202" s="250"/>
      <c r="EF202" s="250"/>
      <c r="EG202" s="250"/>
      <c r="EH202" s="250"/>
      <c r="EI202" s="250"/>
      <c r="EJ202" s="250"/>
      <c r="EK202" s="250"/>
      <c r="EL202" s="250"/>
      <c r="EM202" s="250"/>
      <c r="EN202" s="250"/>
      <c r="EO202" s="250"/>
      <c r="EP202" s="250"/>
      <c r="EQ202" s="250"/>
      <c r="ER202" s="250"/>
      <c r="ES202" s="250"/>
      <c r="ET202" s="250"/>
      <c r="EU202" s="250"/>
      <c r="EV202" s="250"/>
      <c r="EW202" s="250"/>
      <c r="EX202" s="250"/>
      <c r="EY202" s="250"/>
      <c r="EZ202" s="250"/>
      <c r="FA202" s="250"/>
      <c r="FB202" s="250"/>
      <c r="FC202" s="250"/>
      <c r="FD202" s="250"/>
      <c r="FE202" s="250"/>
      <c r="FF202" s="250"/>
      <c r="FG202" s="250"/>
      <c r="FH202" s="250"/>
      <c r="FI202" s="250"/>
      <c r="FJ202" s="250"/>
      <c r="FK202" s="250"/>
      <c r="FL202" s="250"/>
      <c r="FM202" s="250"/>
      <c r="FN202" s="250"/>
      <c r="FO202" s="250"/>
      <c r="FP202" s="250"/>
      <c r="FQ202" s="250"/>
      <c r="FR202" s="250"/>
      <c r="FS202" s="250"/>
      <c r="FT202" s="250"/>
      <c r="FU202" s="250"/>
      <c r="FV202" s="250"/>
      <c r="FW202" s="250"/>
      <c r="FX202" s="250"/>
      <c r="FY202" s="250"/>
      <c r="FZ202" s="250"/>
      <c r="GA202" s="250"/>
      <c r="GB202" s="250"/>
      <c r="GC202" s="250"/>
      <c r="GD202" s="250"/>
      <c r="GE202" s="250"/>
      <c r="GF202" s="250"/>
      <c r="GG202" s="250"/>
      <c r="GH202" s="250"/>
      <c r="GI202" s="250"/>
      <c r="GJ202" s="250"/>
      <c r="GK202" s="250"/>
      <c r="GL202" s="250"/>
      <c r="GM202" s="250"/>
      <c r="GN202" s="250"/>
      <c r="GO202" s="250"/>
      <c r="GP202" s="250"/>
      <c r="GQ202" s="250"/>
      <c r="GR202" s="250"/>
      <c r="GS202" s="250"/>
      <c r="GT202" s="250"/>
      <c r="GU202" s="250"/>
      <c r="GV202" s="250"/>
      <c r="GW202" s="250"/>
      <c r="GX202" s="250"/>
      <c r="GY202" s="250"/>
      <c r="GZ202" s="250"/>
      <c r="HA202" s="250"/>
      <c r="HB202" s="250"/>
      <c r="HC202" s="250"/>
      <c r="HD202" s="250"/>
      <c r="HE202" s="250"/>
      <c r="HF202" s="250"/>
      <c r="HG202" s="250"/>
      <c r="HH202" s="250"/>
      <c r="HI202" s="250"/>
      <c r="HJ202" s="250"/>
      <c r="HK202" s="250"/>
      <c r="HL202" s="250"/>
      <c r="HM202" s="250"/>
      <c r="HN202" s="250"/>
      <c r="HO202" s="250"/>
      <c r="HP202" s="250"/>
      <c r="HQ202" s="250"/>
      <c r="HR202" s="250"/>
      <c r="HS202" s="250"/>
      <c r="HT202" s="250"/>
      <c r="HU202" s="250"/>
      <c r="HV202" s="250"/>
      <c r="HW202" s="250"/>
      <c r="HX202" s="250"/>
      <c r="HY202" s="250"/>
      <c r="HZ202" s="250"/>
      <c r="IA202" s="250"/>
      <c r="IB202" s="250"/>
      <c r="IC202" s="250"/>
      <c r="ID202" s="250"/>
      <c r="IE202" s="250"/>
      <c r="IF202" s="250"/>
      <c r="IG202" s="250"/>
      <c r="IH202" s="250"/>
    </row>
    <row r="203" spans="1:242" ht="13.35" customHeight="1" outlineLevel="1">
      <c r="A203" s="246"/>
      <c r="B203" s="436"/>
      <c r="D203" s="437" t="s">
        <v>201</v>
      </c>
      <c r="E203" s="438"/>
      <c r="F203" s="439"/>
      <c r="K203" s="440">
        <f>-K129</f>
        <v>16</v>
      </c>
      <c r="L203" s="440">
        <f t="shared" ref="L203:O203" si="84">-L129</f>
        <v>17</v>
      </c>
      <c r="M203" s="440">
        <f t="shared" si="84"/>
        <v>17.3</v>
      </c>
      <c r="N203" s="440">
        <f t="shared" si="84"/>
        <v>17.5</v>
      </c>
      <c r="O203" s="440">
        <f t="shared" si="84"/>
        <v>18</v>
      </c>
      <c r="P203" s="250"/>
      <c r="Q203" s="250"/>
      <c r="R203" s="250"/>
      <c r="S203" s="250"/>
      <c r="T203" s="250"/>
      <c r="U203" s="250"/>
      <c r="V203" s="250"/>
      <c r="W203" s="250"/>
      <c r="X203" s="250"/>
      <c r="Y203" s="250"/>
      <c r="Z203" s="250"/>
      <c r="AA203" s="250"/>
      <c r="AB203" s="250"/>
      <c r="AC203" s="250"/>
      <c r="AD203" s="250"/>
      <c r="AE203" s="250"/>
      <c r="AF203" s="250"/>
      <c r="AG203" s="250"/>
      <c r="AH203" s="250"/>
      <c r="AI203" s="250"/>
      <c r="AJ203" s="250"/>
      <c r="AK203" s="250"/>
      <c r="AL203" s="250"/>
      <c r="AM203" s="250"/>
      <c r="AN203" s="250"/>
      <c r="AO203" s="250"/>
      <c r="AP203" s="250"/>
      <c r="AQ203" s="250"/>
      <c r="AR203" s="250"/>
      <c r="AS203" s="250"/>
      <c r="AT203" s="250"/>
      <c r="AU203" s="250"/>
      <c r="AV203" s="250"/>
      <c r="AW203" s="250"/>
      <c r="AX203" s="250"/>
      <c r="AY203" s="250"/>
      <c r="AZ203" s="250"/>
      <c r="BA203" s="250"/>
      <c r="BB203" s="250"/>
      <c r="BC203" s="250"/>
      <c r="BD203" s="250"/>
      <c r="BE203" s="250"/>
      <c r="BF203" s="250"/>
      <c r="BG203" s="250"/>
      <c r="BH203" s="250"/>
      <c r="BI203" s="250"/>
      <c r="BJ203" s="250"/>
      <c r="BK203" s="250"/>
      <c r="BL203" s="250"/>
      <c r="BM203" s="250"/>
      <c r="BN203" s="250"/>
      <c r="BO203" s="250"/>
      <c r="BP203" s="250"/>
      <c r="BQ203" s="250"/>
      <c r="BR203" s="250"/>
      <c r="BS203" s="250"/>
      <c r="BT203" s="250"/>
      <c r="BU203" s="250"/>
      <c r="BV203" s="250"/>
      <c r="BW203" s="250"/>
      <c r="BX203" s="250"/>
      <c r="BY203" s="250"/>
      <c r="BZ203" s="250"/>
      <c r="CA203" s="250"/>
      <c r="CB203" s="250"/>
      <c r="CC203" s="250"/>
      <c r="CD203" s="250"/>
      <c r="CE203" s="250"/>
      <c r="CF203" s="250"/>
      <c r="CG203" s="250"/>
      <c r="CH203" s="250"/>
      <c r="CI203" s="250"/>
      <c r="CJ203" s="250"/>
      <c r="CK203" s="250"/>
      <c r="CL203" s="250"/>
      <c r="CM203" s="250"/>
      <c r="CN203" s="250"/>
      <c r="CO203" s="250"/>
      <c r="CP203" s="250"/>
      <c r="CQ203" s="250"/>
      <c r="CR203" s="250"/>
      <c r="CS203" s="250"/>
      <c r="CT203" s="250"/>
      <c r="CU203" s="250"/>
      <c r="CV203" s="250"/>
      <c r="CW203" s="250"/>
      <c r="CX203" s="250"/>
      <c r="CY203" s="250"/>
      <c r="CZ203" s="250"/>
      <c r="DA203" s="250"/>
      <c r="DB203" s="250"/>
      <c r="DC203" s="250"/>
      <c r="DD203" s="250"/>
      <c r="DE203" s="250"/>
      <c r="DF203" s="250"/>
      <c r="DG203" s="250"/>
      <c r="DH203" s="250"/>
      <c r="DI203" s="250"/>
      <c r="DJ203" s="250"/>
      <c r="DK203" s="250"/>
      <c r="DL203" s="250"/>
      <c r="DM203" s="250"/>
      <c r="DN203" s="250"/>
      <c r="DO203" s="250"/>
      <c r="DP203" s="250"/>
      <c r="DQ203" s="250"/>
      <c r="DR203" s="250"/>
      <c r="DS203" s="250"/>
      <c r="DT203" s="250"/>
      <c r="DU203" s="250"/>
      <c r="DV203" s="250"/>
      <c r="DW203" s="250"/>
      <c r="DX203" s="250"/>
      <c r="DY203" s="250"/>
      <c r="DZ203" s="250"/>
      <c r="EA203" s="250"/>
      <c r="EB203" s="250"/>
      <c r="EC203" s="250"/>
      <c r="ED203" s="250"/>
      <c r="EE203" s="250"/>
      <c r="EF203" s="250"/>
      <c r="EG203" s="250"/>
      <c r="EH203" s="250"/>
      <c r="EI203" s="250"/>
      <c r="EJ203" s="250"/>
      <c r="EK203" s="250"/>
      <c r="EL203" s="250"/>
      <c r="EM203" s="250"/>
      <c r="EN203" s="250"/>
      <c r="EO203" s="250"/>
      <c r="EP203" s="250"/>
      <c r="EQ203" s="250"/>
      <c r="ER203" s="250"/>
      <c r="ES203" s="250"/>
      <c r="ET203" s="250"/>
      <c r="EU203" s="250"/>
      <c r="EV203" s="250"/>
      <c r="EW203" s="250"/>
      <c r="EX203" s="250"/>
      <c r="EY203" s="250"/>
      <c r="EZ203" s="250"/>
      <c r="FA203" s="250"/>
      <c r="FB203" s="250"/>
      <c r="FC203" s="250"/>
      <c r="FD203" s="250"/>
      <c r="FE203" s="250"/>
      <c r="FF203" s="250"/>
      <c r="FG203" s="250"/>
      <c r="FH203" s="250"/>
      <c r="FI203" s="250"/>
      <c r="FJ203" s="250"/>
      <c r="FK203" s="250"/>
      <c r="FL203" s="250"/>
      <c r="FM203" s="250"/>
      <c r="FN203" s="250"/>
      <c r="FO203" s="250"/>
      <c r="FP203" s="250"/>
      <c r="FQ203" s="250"/>
      <c r="FR203" s="250"/>
      <c r="FS203" s="250"/>
      <c r="FT203" s="250"/>
      <c r="FU203" s="250"/>
      <c r="FV203" s="250"/>
      <c r="FW203" s="250"/>
      <c r="FX203" s="250"/>
      <c r="FY203" s="250"/>
      <c r="FZ203" s="250"/>
      <c r="GA203" s="250"/>
      <c r="GB203" s="250"/>
      <c r="GC203" s="250"/>
      <c r="GD203" s="250"/>
      <c r="GE203" s="250"/>
      <c r="GF203" s="250"/>
      <c r="GG203" s="250"/>
      <c r="GH203" s="250"/>
      <c r="GI203" s="250"/>
      <c r="GJ203" s="250"/>
      <c r="GK203" s="250"/>
      <c r="GL203" s="250"/>
      <c r="GM203" s="250"/>
      <c r="GN203" s="250"/>
      <c r="GO203" s="250"/>
      <c r="GP203" s="250"/>
      <c r="GQ203" s="250"/>
      <c r="GR203" s="250"/>
      <c r="GS203" s="250"/>
      <c r="GT203" s="250"/>
      <c r="GU203" s="250"/>
      <c r="GV203" s="250"/>
      <c r="GW203" s="250"/>
      <c r="GX203" s="250"/>
      <c r="GY203" s="250"/>
      <c r="GZ203" s="250"/>
      <c r="HA203" s="250"/>
      <c r="HB203" s="250"/>
      <c r="HC203" s="250"/>
      <c r="HD203" s="250"/>
      <c r="HE203" s="250"/>
      <c r="HF203" s="250"/>
      <c r="HG203" s="250"/>
      <c r="HH203" s="250"/>
      <c r="HI203" s="250"/>
      <c r="HJ203" s="250"/>
      <c r="HK203" s="250"/>
      <c r="HL203" s="250"/>
      <c r="HM203" s="250"/>
      <c r="HN203" s="250"/>
      <c r="HO203" s="250"/>
      <c r="HP203" s="250"/>
      <c r="HQ203" s="250"/>
      <c r="HR203" s="250"/>
      <c r="HS203" s="250"/>
      <c r="HT203" s="250"/>
      <c r="HU203" s="250"/>
      <c r="HV203" s="250"/>
      <c r="HW203" s="250"/>
      <c r="HX203" s="250"/>
      <c r="HY203" s="250"/>
      <c r="HZ203" s="250"/>
      <c r="IA203" s="250"/>
      <c r="IB203" s="250"/>
      <c r="IC203" s="250"/>
      <c r="ID203" s="250"/>
      <c r="IE203" s="250"/>
      <c r="IF203" s="250"/>
      <c r="IG203" s="250"/>
      <c r="IH203" s="250"/>
    </row>
    <row r="204" spans="1:242" ht="12.75" customHeight="1" outlineLevel="1">
      <c r="F204"/>
      <c r="K204" s="254"/>
    </row>
    <row r="205" spans="1:242" outlineLevel="1">
      <c r="D205" t="s">
        <v>41</v>
      </c>
      <c r="F205"/>
      <c r="H205" s="30"/>
      <c r="I205" s="30"/>
      <c r="J205" s="30"/>
      <c r="K205" s="255">
        <f>J163/F199</f>
        <v>15.907999999999999</v>
      </c>
      <c r="L205" s="255">
        <f>K205</f>
        <v>15.907999999999999</v>
      </c>
      <c r="M205" s="255">
        <f>L205</f>
        <v>15.907999999999999</v>
      </c>
      <c r="N205" s="255">
        <f>M205</f>
        <v>15.907999999999999</v>
      </c>
      <c r="O205" s="255">
        <f>N205</f>
        <v>15.907999999999999</v>
      </c>
    </row>
    <row r="206" spans="1:242" outlineLevel="1">
      <c r="F206"/>
    </row>
    <row r="207" spans="1:242" outlineLevel="1">
      <c r="D207" s="477" t="s">
        <v>54</v>
      </c>
      <c r="E207" s="3"/>
      <c r="F207"/>
      <c r="K207" s="94" t="s">
        <v>89</v>
      </c>
      <c r="L207" s="3"/>
      <c r="M207" s="3"/>
      <c r="N207" s="3"/>
      <c r="O207" s="3"/>
    </row>
    <row r="208" spans="1:242" outlineLevel="1">
      <c r="D208" s="478">
        <f>K197</f>
        <v>2027</v>
      </c>
      <c r="E208" s="544">
        <f>-_xlfn.XLOOKUP(D208,$K$119:$O$119,$K$129:$O$129,"",0)</f>
        <v>16</v>
      </c>
      <c r="F208" s="257"/>
      <c r="H208" s="249"/>
      <c r="I208" s="249"/>
      <c r="J208" s="249"/>
      <c r="K208" s="258">
        <f>IF(K$197=$D208,$E208/$F$200/2,MIN($E208/$F$200,$E208-SUM($J208:J208)))</f>
        <v>0.26666666666666666</v>
      </c>
      <c r="L208" s="258">
        <f>IF(L$197=$D208,$E208/$F$200/2,MIN($E208/$F$200,$E208-SUM($J208:K208)))</f>
        <v>0.53333333333333333</v>
      </c>
      <c r="M208" s="258">
        <f>IF(M$197=$D208,$E208/$F$200/2,MIN($E208/$F$200,$E208-SUM($J208:L208)))</f>
        <v>0.53333333333333333</v>
      </c>
      <c r="N208" s="258">
        <f>IF(N$197=$D208,$E208/$F$200/2,MIN($E208/$F$200,$E208-SUM($J208:M208)))</f>
        <v>0.53333333333333333</v>
      </c>
      <c r="O208" s="258">
        <f>IF(O$197=$D208,$E208/$F$200/2,MIN($E208/$F$200,$E208-SUM($J208:N208)))</f>
        <v>0.53333333333333333</v>
      </c>
    </row>
    <row r="209" spans="1:15" outlineLevel="1">
      <c r="D209" s="478">
        <f>D208+1</f>
        <v>2028</v>
      </c>
      <c r="E209" s="545">
        <f>-_xlfn.XLOOKUP(D209,$K$119:$O$119,$K$129:$O$129,"",0)</f>
        <v>17</v>
      </c>
      <c r="F209" s="257"/>
      <c r="H209" s="249"/>
      <c r="I209" s="249"/>
      <c r="J209" s="249"/>
      <c r="K209" s="258"/>
      <c r="L209" s="258">
        <f>IF(L$197=$D209,$E209/$F$200/2,MIN($E209/$F$200,$E209-SUM($J209:K209)))</f>
        <v>0.28333333333333333</v>
      </c>
      <c r="M209" s="258">
        <f>IF(M$197=$D209,$E209/$F$200/2,MIN($E209/$F$200,$E209-SUM($J209:L209)))</f>
        <v>0.56666666666666665</v>
      </c>
      <c r="N209" s="258">
        <f>IF(N$197=$D209,$E209/$F$200/2,MIN($E209/$F$200,$E209-SUM($J209:M209)))</f>
        <v>0.56666666666666665</v>
      </c>
      <c r="O209" s="258">
        <f>IF(O$197=$D209,$E209/$F$200/2,MIN($E209/$F$200,$E209-SUM($J209:N209)))</f>
        <v>0.56666666666666665</v>
      </c>
    </row>
    <row r="210" spans="1:15" outlineLevel="1">
      <c r="D210" s="478">
        <f>D209+1</f>
        <v>2029</v>
      </c>
      <c r="E210" s="545">
        <f>-_xlfn.XLOOKUP(D210,$K$119:$O$119,$K$129:$O$129,"",0)</f>
        <v>17.3</v>
      </c>
      <c r="F210" s="257"/>
      <c r="H210" s="153"/>
      <c r="I210" s="153"/>
      <c r="J210" s="153"/>
      <c r="K210" s="258"/>
      <c r="L210" s="258"/>
      <c r="M210" s="258">
        <f>IF(M$197=$D210,$E210/$F$200/2,MIN($E210/$F$200,$E210-SUM($J210:L210)))</f>
        <v>0.28833333333333333</v>
      </c>
      <c r="N210" s="258">
        <f>IF(N$197=$D210,$E210/$F$200/2,MIN($E210/$F$200,$E210-SUM($J210:M210)))</f>
        <v>0.57666666666666666</v>
      </c>
      <c r="O210" s="258">
        <f>IF(O$197=$D210,$E210/$F$200/2,MIN($E210/$F$200,$E210-SUM($J210:N210)))</f>
        <v>0.57666666666666666</v>
      </c>
    </row>
    <row r="211" spans="1:15" outlineLevel="1">
      <c r="D211" s="478">
        <f>D210+1</f>
        <v>2030</v>
      </c>
      <c r="E211" s="545">
        <f>-_xlfn.XLOOKUP(D211,$K$119:$O$119,$K$129:$O$129,"",0)</f>
        <v>17.5</v>
      </c>
      <c r="F211" s="257"/>
      <c r="H211" s="153"/>
      <c r="I211" s="153"/>
      <c r="J211" s="153"/>
      <c r="K211" s="184"/>
      <c r="L211" s="258"/>
      <c r="M211" s="258"/>
      <c r="N211" s="258">
        <f>IF(N$197=$D211,$E211/$F$200/2,MIN($E211/$F$200,$E211-SUM($J211:M211)))</f>
        <v>0.29166666666666669</v>
      </c>
      <c r="O211" s="258">
        <f>IF(O$197=$D211,$E211/$F$200/2,MIN($E211/$F$200,$E211-SUM($J211:N211)))</f>
        <v>0.58333333333333337</v>
      </c>
    </row>
    <row r="212" spans="1:15" outlineLevel="1">
      <c r="D212" s="478">
        <f>D211+1</f>
        <v>2031</v>
      </c>
      <c r="E212" s="546">
        <f>-_xlfn.XLOOKUP(D212,$K$119:$O$119,$K$129:$O$129,"",0)</f>
        <v>18</v>
      </c>
      <c r="F212" s="257"/>
      <c r="H212" s="153"/>
      <c r="I212" s="153"/>
      <c r="J212" s="153"/>
      <c r="K212" s="184"/>
      <c r="L212" s="184"/>
      <c r="M212" s="258"/>
      <c r="N212" s="258"/>
      <c r="O212" s="258">
        <f>IF(O$197=$D212,$E212/$F$200/2,MIN($E212/$F$200,$E212-SUM($J212:N212)))</f>
        <v>0.3</v>
      </c>
    </row>
    <row r="213" spans="1:15" outlineLevel="1"/>
    <row r="214" spans="1:15" ht="13.5" outlineLevel="1" thickBot="1">
      <c r="D214" s="259" t="s">
        <v>42</v>
      </c>
      <c r="H214" s="260"/>
      <c r="I214" s="260"/>
      <c r="J214" s="260"/>
      <c r="K214" s="260">
        <f>K205+SUM(K208:K212)</f>
        <v>16.174666666666667</v>
      </c>
      <c r="L214" s="260">
        <f t="shared" ref="L214:O214" si="85">L205+SUM(L208:L212)</f>
        <v>16.724666666666668</v>
      </c>
      <c r="M214" s="260">
        <f t="shared" si="85"/>
        <v>17.296333333333333</v>
      </c>
      <c r="N214" s="260">
        <f t="shared" si="85"/>
        <v>17.876333333333331</v>
      </c>
      <c r="O214" s="260">
        <f t="shared" si="85"/>
        <v>18.468</v>
      </c>
    </row>
    <row r="215" spans="1:15" ht="13.5" outlineLevel="1" thickTop="1">
      <c r="D215" s="259"/>
      <c r="H215" s="434"/>
      <c r="I215" s="434"/>
      <c r="J215" s="434"/>
      <c r="K215" s="435"/>
      <c r="L215" s="435"/>
      <c r="M215" s="435"/>
      <c r="N215" s="435"/>
      <c r="O215" s="435"/>
    </row>
    <row r="216" spans="1:15" outlineLevel="1">
      <c r="D216" s="259" t="s">
        <v>198</v>
      </c>
      <c r="H216" s="434"/>
      <c r="I216" s="434"/>
      <c r="J216" s="434">
        <f>J163</f>
        <v>397.7</v>
      </c>
      <c r="K216" s="435">
        <f>K202+K203-K214</f>
        <v>397.52533333333332</v>
      </c>
      <c r="L216" s="435">
        <f t="shared" ref="L216:O216" si="86">L202+L203-L214</f>
        <v>397.80066666666664</v>
      </c>
      <c r="M216" s="435">
        <f t="shared" si="86"/>
        <v>397.80433333333332</v>
      </c>
      <c r="N216" s="435">
        <f t="shared" si="86"/>
        <v>397.428</v>
      </c>
      <c r="O216" s="435">
        <f t="shared" si="86"/>
        <v>396.96</v>
      </c>
    </row>
    <row r="217" spans="1:15" outlineLevel="1">
      <c r="D217" s="259"/>
      <c r="H217" s="434"/>
      <c r="I217" s="434"/>
      <c r="J217" s="434"/>
      <c r="K217" s="435"/>
      <c r="L217" s="435"/>
      <c r="M217" s="435"/>
      <c r="N217" s="435"/>
      <c r="O217" s="435"/>
    </row>
    <row r="218" spans="1:15" outlineLevel="1">
      <c r="B218" s="10"/>
      <c r="C218" s="10"/>
      <c r="D218" s="10"/>
      <c r="E218" s="10"/>
      <c r="F218" s="130"/>
      <c r="G218" s="10"/>
      <c r="H218" s="261"/>
      <c r="I218" s="261"/>
      <c r="J218" s="261"/>
      <c r="K218" s="261"/>
      <c r="L218" s="261"/>
      <c r="M218" s="261"/>
      <c r="N218" s="261"/>
      <c r="O218" s="10"/>
    </row>
    <row r="219" spans="1:15">
      <c r="F219"/>
    </row>
    <row r="220" spans="1:15" ht="12.75" customHeight="1">
      <c r="A220" s="88"/>
      <c r="B220" s="1"/>
      <c r="C220" s="3"/>
      <c r="D220" s="3"/>
      <c r="E220" s="3"/>
      <c r="F220" s="87"/>
      <c r="G220" s="3"/>
      <c r="H220" s="3"/>
      <c r="I220" s="3"/>
      <c r="J220" s="3"/>
      <c r="K220" s="3"/>
      <c r="L220" s="3"/>
      <c r="M220" s="3"/>
      <c r="N220" s="3"/>
      <c r="O220" s="131" t="str">
        <f>$O$1</f>
        <v>CURRENTLY RUNNING: BASE CASE SCENARIO</v>
      </c>
    </row>
    <row r="221" spans="1:15" ht="42" customHeight="1">
      <c r="B221" s="457" t="str">
        <f>B$2</f>
        <v>Blu Containers</v>
      </c>
      <c r="C221" s="457"/>
      <c r="D221" s="457"/>
      <c r="E221" s="457"/>
      <c r="F221" s="457"/>
      <c r="G221" s="457"/>
      <c r="H221" s="457"/>
      <c r="I221" s="457"/>
      <c r="J221" s="457"/>
      <c r="K221" s="457"/>
      <c r="L221" s="457"/>
      <c r="M221" s="457"/>
      <c r="N221" s="457"/>
      <c r="O221" s="457"/>
    </row>
    <row r="222" spans="1:15" ht="18">
      <c r="B222" s="453" t="s">
        <v>48</v>
      </c>
      <c r="C222" s="453"/>
      <c r="D222" s="453"/>
      <c r="E222" s="453"/>
      <c r="F222" s="453"/>
      <c r="G222" s="453"/>
      <c r="H222" s="453"/>
      <c r="I222" s="453"/>
      <c r="J222" s="453"/>
      <c r="K222" s="453"/>
      <c r="L222" s="453"/>
      <c r="M222" s="453"/>
      <c r="N222" s="453"/>
      <c r="O222" s="453"/>
    </row>
    <row r="223" spans="1:15" ht="3" customHeight="1">
      <c r="A223" s="89"/>
      <c r="B223" s="457"/>
      <c r="C223" s="457"/>
      <c r="D223" s="457"/>
      <c r="E223" s="457"/>
      <c r="F223" s="457"/>
      <c r="G223" s="457"/>
      <c r="H223" s="457"/>
      <c r="I223" s="457"/>
      <c r="J223" s="457"/>
      <c r="K223" s="457"/>
      <c r="L223" s="457"/>
      <c r="M223" s="457"/>
      <c r="N223" s="457"/>
      <c r="O223" s="457"/>
    </row>
    <row r="224" spans="1:15" outlineLevel="1">
      <c r="B224" s="165" t="s">
        <v>171</v>
      </c>
      <c r="F224"/>
    </row>
    <row r="225" spans="2:15" outlineLevel="1">
      <c r="F225"/>
      <c r="H225" s="229"/>
      <c r="I225" s="229"/>
      <c r="J225" s="229"/>
      <c r="K225" s="95" t="s">
        <v>2</v>
      </c>
      <c r="L225" s="19"/>
      <c r="M225" s="19"/>
      <c r="N225" s="19"/>
      <c r="O225" s="19"/>
    </row>
    <row r="226" spans="2:15" outlineLevel="1">
      <c r="B226" s="262"/>
      <c r="C226" s="263" t="s">
        <v>94</v>
      </c>
      <c r="D226" s="264"/>
      <c r="E226" s="547">
        <f>Assumptions!N39</f>
        <v>0.35</v>
      </c>
      <c r="F226"/>
      <c r="H226" s="132"/>
      <c r="I226" s="132"/>
      <c r="J226" s="132"/>
      <c r="K226" s="358">
        <f>K$7</f>
        <v>2027</v>
      </c>
      <c r="L226" s="358">
        <f>L$7</f>
        <v>2028</v>
      </c>
      <c r="M226" s="358">
        <f>M$7</f>
        <v>2029</v>
      </c>
      <c r="N226" s="358">
        <f>N$7</f>
        <v>2030</v>
      </c>
      <c r="O226" s="358">
        <f>O$7</f>
        <v>2031</v>
      </c>
    </row>
    <row r="227" spans="2:15" outlineLevel="1">
      <c r="B227" s="262"/>
      <c r="C227" s="120"/>
      <c r="E227" s="360"/>
      <c r="F227"/>
      <c r="H227" s="132"/>
      <c r="I227" s="132"/>
      <c r="J227" s="132"/>
      <c r="K227" s="358"/>
      <c r="L227" s="358"/>
      <c r="M227" s="358"/>
      <c r="N227" s="358"/>
      <c r="O227" s="358"/>
    </row>
    <row r="228" spans="2:15" outlineLevel="1">
      <c r="F228"/>
    </row>
    <row r="229" spans="2:15" outlineLevel="1">
      <c r="D229" s="97" t="s">
        <v>173</v>
      </c>
      <c r="F229"/>
      <c r="H229" s="265" t="s">
        <v>31</v>
      </c>
      <c r="I229" s="249"/>
      <c r="J229" s="249"/>
      <c r="K229" s="548">
        <f>K98</f>
        <v>33.04430107526882</v>
      </c>
      <c r="L229" s="548">
        <f t="shared" ref="L229:O229" si="87">L98</f>
        <v>47.738319396965657</v>
      </c>
      <c r="M229" s="548">
        <f t="shared" si="87"/>
        <v>59.273609274168855</v>
      </c>
      <c r="N229" s="548">
        <f t="shared" si="87"/>
        <v>46.597643362513779</v>
      </c>
      <c r="O229" s="548">
        <f t="shared" si="87"/>
        <v>29.178444140863782</v>
      </c>
    </row>
    <row r="230" spans="2:15" ht="6" customHeight="1" outlineLevel="1">
      <c r="E230" s="81"/>
      <c r="F230" s="81"/>
      <c r="H230" s="174"/>
      <c r="I230" s="174"/>
      <c r="J230" s="174"/>
      <c r="K230" s="174"/>
      <c r="L230" s="174"/>
      <c r="M230" s="174"/>
      <c r="N230" s="174"/>
      <c r="O230" s="174"/>
    </row>
    <row r="231" spans="2:15" ht="14.25" outlineLevel="1">
      <c r="D231" t="s">
        <v>182</v>
      </c>
      <c r="F231"/>
      <c r="K231" s="549">
        <f>Assumptions!J61</f>
        <v>5</v>
      </c>
      <c r="L231" s="549">
        <f>Assumptions!K61</f>
        <v>5</v>
      </c>
      <c r="M231" s="549">
        <f>Assumptions!L61</f>
        <v>5</v>
      </c>
      <c r="N231" s="549">
        <f>Assumptions!M61</f>
        <v>5</v>
      </c>
      <c r="O231" s="549">
        <f>Assumptions!N61</f>
        <v>5</v>
      </c>
    </row>
    <row r="232" spans="2:15" outlineLevel="1">
      <c r="D232" s="97" t="s">
        <v>202</v>
      </c>
      <c r="F232" s="81"/>
      <c r="H232" s="265" t="s">
        <v>32</v>
      </c>
      <c r="I232" s="266"/>
      <c r="J232" s="266"/>
      <c r="K232" s="548">
        <f>K229-K231</f>
        <v>28.04430107526882</v>
      </c>
      <c r="L232" s="548">
        <f t="shared" ref="L232:O232" si="88">L229-L231</f>
        <v>42.738319396965657</v>
      </c>
      <c r="M232" s="548">
        <f t="shared" si="88"/>
        <v>54.273609274168855</v>
      </c>
      <c r="N232" s="548">
        <f t="shared" si="88"/>
        <v>41.597643362513779</v>
      </c>
      <c r="O232" s="548">
        <f t="shared" si="88"/>
        <v>24.178444140863782</v>
      </c>
    </row>
    <row r="233" spans="2:15" outlineLevel="1">
      <c r="E233" s="120"/>
      <c r="F233"/>
      <c r="H233" s="249"/>
      <c r="I233" s="249"/>
      <c r="J233" s="249"/>
      <c r="K233" s="258"/>
      <c r="L233" s="258"/>
      <c r="M233" s="258"/>
      <c r="N233" s="258"/>
      <c r="O233" s="258"/>
    </row>
    <row r="234" spans="2:15" outlineLevel="1">
      <c r="D234" s="18" t="str">
        <f>CONCATENATE("Accounting Taxes (",$E$226*100,"% of A)")</f>
        <v>Accounting Taxes (35% of A)</v>
      </c>
      <c r="E234" s="81"/>
      <c r="F234" s="174"/>
      <c r="G234" s="174"/>
      <c r="H234" s="249"/>
      <c r="I234" s="249"/>
      <c r="J234" s="249"/>
      <c r="K234" s="258">
        <f>K229*$E$226</f>
        <v>11.565505376344086</v>
      </c>
      <c r="L234" s="258">
        <f t="shared" ref="L234:O234" si="89">L229*$E$226</f>
        <v>16.70841178893798</v>
      </c>
      <c r="M234" s="258">
        <f t="shared" si="89"/>
        <v>20.745763245959097</v>
      </c>
      <c r="N234" s="258">
        <f t="shared" si="89"/>
        <v>16.309175176879823</v>
      </c>
      <c r="O234" s="258">
        <f t="shared" si="89"/>
        <v>10.212455449302324</v>
      </c>
    </row>
    <row r="235" spans="2:15" outlineLevel="1">
      <c r="F235" s="267"/>
      <c r="H235" s="249"/>
      <c r="I235" s="249"/>
      <c r="J235" s="249"/>
      <c r="K235" s="249"/>
      <c r="L235" s="249"/>
      <c r="M235" s="249"/>
      <c r="N235" s="249"/>
      <c r="O235" s="249"/>
    </row>
    <row r="236" spans="2:15" outlineLevel="1">
      <c r="D236" s="190" t="s">
        <v>95</v>
      </c>
      <c r="E236" s="268"/>
      <c r="F236" s="269"/>
      <c r="G236" s="269"/>
      <c r="H236" s="269"/>
      <c r="I236" s="269"/>
      <c r="J236" s="269"/>
      <c r="K236" s="269"/>
      <c r="L236" s="269"/>
      <c r="M236" s="269"/>
      <c r="N236" s="269"/>
      <c r="O236" s="270"/>
    </row>
    <row r="237" spans="2:15" outlineLevel="1">
      <c r="D237" s="21" t="str">
        <f>CONCATENATE("Current Tax (",$E$226*100,"% of B)")</f>
        <v>Current Tax (35% of B)</v>
      </c>
      <c r="E237" s="81"/>
      <c r="F237" s="174"/>
      <c r="G237" s="271"/>
      <c r="H237" s="249"/>
      <c r="I237" s="249"/>
      <c r="J237" s="249"/>
      <c r="K237" s="258">
        <f>K232*$E$226</f>
        <v>9.8155053763440865</v>
      </c>
      <c r="L237" s="258">
        <f t="shared" ref="L237:O237" si="90">L232*$E$226</f>
        <v>14.95841178893798</v>
      </c>
      <c r="M237" s="258">
        <f t="shared" si="90"/>
        <v>18.995763245959097</v>
      </c>
      <c r="N237" s="258">
        <f t="shared" si="90"/>
        <v>14.559175176879821</v>
      </c>
      <c r="O237" s="599">
        <f t="shared" si="90"/>
        <v>8.4624554493023236</v>
      </c>
    </row>
    <row r="238" spans="2:15" outlineLevel="1">
      <c r="D238" s="5" t="s">
        <v>146</v>
      </c>
      <c r="E238" s="81"/>
      <c r="F238" s="174"/>
      <c r="G238" s="174"/>
      <c r="H238" s="249"/>
      <c r="I238" s="249"/>
      <c r="J238" s="249"/>
      <c r="K238" s="550">
        <f>K234-K237</f>
        <v>1.75</v>
      </c>
      <c r="L238" s="550">
        <f t="shared" ref="L238:O238" si="91">L234-L237</f>
        <v>1.75</v>
      </c>
      <c r="M238" s="550">
        <f t="shared" si="91"/>
        <v>1.75</v>
      </c>
      <c r="N238" s="550">
        <f t="shared" si="91"/>
        <v>1.7500000000000018</v>
      </c>
      <c r="O238" s="600">
        <f t="shared" si="91"/>
        <v>1.75</v>
      </c>
    </row>
    <row r="239" spans="2:15" outlineLevel="1">
      <c r="D239" s="272" t="s">
        <v>96</v>
      </c>
      <c r="E239" s="273"/>
      <c r="F239" s="274"/>
      <c r="G239" s="274"/>
      <c r="H239" s="275"/>
      <c r="I239" s="275"/>
      <c r="J239" s="275"/>
      <c r="K239" s="551">
        <f>SUM(K237:K238)</f>
        <v>11.565505376344086</v>
      </c>
      <c r="L239" s="551">
        <f>SUM(L237:L238)</f>
        <v>16.70841178893798</v>
      </c>
      <c r="M239" s="551">
        <f>SUM(M237:M238)</f>
        <v>20.745763245959097</v>
      </c>
      <c r="N239" s="551">
        <f>SUM(N237:N238)</f>
        <v>16.309175176879823</v>
      </c>
      <c r="O239" s="552">
        <f>SUM(O237:O238)</f>
        <v>10.212455449302324</v>
      </c>
    </row>
    <row r="240" spans="2:15" outlineLevel="1">
      <c r="E240" s="81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</row>
    <row r="241" spans="1:15" outlineLevel="1">
      <c r="C241" s="276" t="s">
        <v>174</v>
      </c>
      <c r="E241" s="81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</row>
    <row r="242" spans="1:15" ht="6" customHeight="1" outlineLevel="1">
      <c r="B242" s="10"/>
      <c r="C242" s="10"/>
      <c r="D242" s="10"/>
      <c r="E242" s="277"/>
      <c r="F242" s="277"/>
      <c r="G242" s="278"/>
      <c r="H242" s="278"/>
      <c r="I242" s="278"/>
      <c r="J242" s="278"/>
      <c r="K242" s="278"/>
      <c r="L242" s="278"/>
      <c r="M242" s="278"/>
      <c r="N242" s="278"/>
      <c r="O242" s="10"/>
    </row>
    <row r="244" spans="1:15" ht="12.75" customHeight="1">
      <c r="A244" s="88"/>
      <c r="B244" s="1"/>
      <c r="C244" s="3"/>
      <c r="D244" s="3"/>
      <c r="E244" s="3"/>
      <c r="F244" s="87"/>
      <c r="G244" s="3"/>
      <c r="H244" s="3"/>
      <c r="I244" s="3"/>
      <c r="J244" s="3"/>
      <c r="K244" s="3"/>
      <c r="L244" s="3"/>
      <c r="M244" s="3"/>
      <c r="N244" s="3"/>
      <c r="O244" s="131" t="str">
        <f>$O$1</f>
        <v>CURRENTLY RUNNING: BASE CASE SCENARIO</v>
      </c>
    </row>
    <row r="245" spans="1:15" ht="42" customHeight="1">
      <c r="B245" s="457" t="str">
        <f>B$2</f>
        <v>Blu Containers</v>
      </c>
      <c r="C245" s="457"/>
      <c r="D245" s="457"/>
      <c r="E245" s="457"/>
      <c r="F245" s="457"/>
      <c r="G245" s="457"/>
      <c r="H245" s="457"/>
      <c r="I245" s="457"/>
      <c r="J245" s="457"/>
      <c r="K245" s="457"/>
      <c r="L245" s="457"/>
      <c r="M245" s="457"/>
      <c r="N245" s="457"/>
      <c r="O245" s="457"/>
    </row>
    <row r="246" spans="1:15" ht="18">
      <c r="B246" s="453" t="s">
        <v>49</v>
      </c>
      <c r="C246" s="453"/>
      <c r="D246" s="453"/>
      <c r="E246" s="453"/>
      <c r="F246" s="453"/>
      <c r="G246" s="453"/>
      <c r="H246" s="453"/>
      <c r="I246" s="453"/>
      <c r="J246" s="453"/>
      <c r="K246" s="453"/>
      <c r="L246" s="453"/>
      <c r="M246" s="453"/>
      <c r="N246" s="453"/>
      <c r="O246" s="453"/>
    </row>
    <row r="247" spans="1:15" ht="3" customHeight="1" thickBot="1">
      <c r="A247" s="89"/>
      <c r="B247" s="365"/>
      <c r="C247" s="366"/>
      <c r="D247" s="366"/>
      <c r="E247" s="366"/>
      <c r="F247" s="367"/>
      <c r="G247" s="366"/>
      <c r="H247" s="366"/>
      <c r="I247" s="366"/>
      <c r="J247" s="366"/>
      <c r="K247" s="366"/>
      <c r="L247" s="366"/>
      <c r="M247" s="366"/>
      <c r="N247" s="366"/>
      <c r="O247" s="366"/>
    </row>
    <row r="248" spans="1:15" outlineLevel="1">
      <c r="B248" s="165" t="s">
        <v>171</v>
      </c>
      <c r="F248"/>
      <c r="O248" s="18"/>
    </row>
    <row r="249" spans="1:15" outlineLevel="1">
      <c r="F249"/>
      <c r="H249" s="3"/>
      <c r="I249" s="3"/>
      <c r="J249" s="3"/>
      <c r="K249" s="95" t="s">
        <v>2</v>
      </c>
      <c r="L249" s="19"/>
      <c r="M249" s="19"/>
      <c r="N249" s="19"/>
      <c r="O249" s="19"/>
    </row>
    <row r="250" spans="1:15" ht="12" customHeight="1" outlineLevel="1">
      <c r="F250"/>
      <c r="G250" s="202"/>
      <c r="H250" s="356">
        <f t="shared" ref="H250:O250" si="92">H$7</f>
        <v>2024</v>
      </c>
      <c r="I250" s="356">
        <f t="shared" si="92"/>
        <v>2025</v>
      </c>
      <c r="J250" s="356">
        <f t="shared" si="92"/>
        <v>2026</v>
      </c>
      <c r="K250" s="358">
        <f t="shared" si="92"/>
        <v>2027</v>
      </c>
      <c r="L250" s="358">
        <f t="shared" si="92"/>
        <v>2028</v>
      </c>
      <c r="M250" s="358">
        <f t="shared" si="92"/>
        <v>2029</v>
      </c>
      <c r="N250" s="358">
        <f t="shared" si="92"/>
        <v>2030</v>
      </c>
      <c r="O250" s="358">
        <f t="shared" si="92"/>
        <v>2031</v>
      </c>
    </row>
    <row r="251" spans="1:15" ht="12" customHeight="1" outlineLevel="1">
      <c r="F251"/>
    </row>
    <row r="252" spans="1:15" outlineLevel="1">
      <c r="B252" s="167" t="s">
        <v>105</v>
      </c>
      <c r="C252" s="168"/>
      <c r="D252" s="168"/>
      <c r="E252" s="168"/>
      <c r="F252" s="279" t="s">
        <v>61</v>
      </c>
      <c r="G252" s="168"/>
      <c r="H252" s="168"/>
      <c r="I252" s="553">
        <f t="shared" ref="I252:O252" si="93">DATE(I250,12,31)-DATE(H250,12,31)</f>
        <v>365</v>
      </c>
      <c r="J252" s="553">
        <f t="shared" si="93"/>
        <v>365</v>
      </c>
      <c r="K252" s="553">
        <f t="shared" si="93"/>
        <v>365</v>
      </c>
      <c r="L252" s="553">
        <f t="shared" si="93"/>
        <v>366</v>
      </c>
      <c r="M252" s="553">
        <f t="shared" si="93"/>
        <v>365</v>
      </c>
      <c r="N252" s="553">
        <f t="shared" si="93"/>
        <v>365</v>
      </c>
      <c r="O252" s="553">
        <f t="shared" si="93"/>
        <v>365</v>
      </c>
    </row>
    <row r="253" spans="1:15" outlineLevel="1">
      <c r="F253" s="98"/>
    </row>
    <row r="254" spans="1:15" outlineLevel="1">
      <c r="B254" s="120" t="s">
        <v>141</v>
      </c>
      <c r="F254" s="98"/>
    </row>
    <row r="255" spans="1:15" outlineLevel="1">
      <c r="C255" t="s">
        <v>3</v>
      </c>
      <c r="F255" s="98" t="s">
        <v>170</v>
      </c>
      <c r="H255" s="127"/>
      <c r="I255" s="127">
        <f>I85</f>
        <v>236.60000000000002</v>
      </c>
      <c r="J255" s="127">
        <f t="shared" ref="J255:O255" si="94">J85</f>
        <v>204.79999999999998</v>
      </c>
      <c r="K255" s="127">
        <f t="shared" si="94"/>
        <v>239.80282258064517</v>
      </c>
      <c r="L255" s="127">
        <f t="shared" si="94"/>
        <v>261.79321161290324</v>
      </c>
      <c r="M255" s="127">
        <f t="shared" si="94"/>
        <v>281.10900479597422</v>
      </c>
      <c r="N255" s="127">
        <f t="shared" si="94"/>
        <v>277.0308312415408</v>
      </c>
      <c r="O255" s="127">
        <f t="shared" si="94"/>
        <v>268.03514363850002</v>
      </c>
    </row>
    <row r="256" spans="1:15" outlineLevel="1">
      <c r="C256" t="s">
        <v>4</v>
      </c>
      <c r="F256" s="98" t="s">
        <v>170</v>
      </c>
      <c r="H256" s="127"/>
      <c r="I256" s="127">
        <f t="shared" ref="I256:O256" si="95">I87</f>
        <v>164.6</v>
      </c>
      <c r="J256" s="127">
        <f t="shared" si="95"/>
        <v>167.9</v>
      </c>
      <c r="K256" s="127">
        <f t="shared" si="95"/>
        <v>174.68685483870968</v>
      </c>
      <c r="L256" s="127">
        <f t="shared" si="95"/>
        <v>182.49261561290325</v>
      </c>
      <c r="M256" s="127">
        <f t="shared" si="95"/>
        <v>191.27759400287999</v>
      </c>
      <c r="N256" s="127">
        <f t="shared" si="95"/>
        <v>200.94996686707006</v>
      </c>
      <c r="O256" s="127">
        <f t="shared" si="95"/>
        <v>210.18417649514998</v>
      </c>
    </row>
    <row r="257" spans="2:15" outlineLevel="1">
      <c r="F257" s="98"/>
    </row>
    <row r="258" spans="2:15" outlineLevel="1">
      <c r="B258" s="280" t="s">
        <v>27</v>
      </c>
      <c r="C258" s="281"/>
      <c r="F258" s="98"/>
      <c r="I258" s="3"/>
    </row>
    <row r="259" spans="2:15" outlineLevel="1">
      <c r="B259" s="282"/>
      <c r="C259" s="281" t="s">
        <v>14</v>
      </c>
      <c r="F259" s="98" t="s">
        <v>61</v>
      </c>
      <c r="G259" s="283"/>
      <c r="H259" s="284"/>
      <c r="I259" s="126">
        <f>I267/I255*I252</f>
        <v>42.886728655959423</v>
      </c>
      <c r="J259" s="554">
        <f t="shared" ref="J259" si="96">J267/J255*J252</f>
        <v>50.437011718750007</v>
      </c>
      <c r="K259" s="555">
        <f>Assumptions!J64</f>
        <v>48</v>
      </c>
      <c r="L259" s="555">
        <f>Assumptions!K64</f>
        <v>44</v>
      </c>
      <c r="M259" s="555">
        <f>Assumptions!L64</f>
        <v>40</v>
      </c>
      <c r="N259" s="555">
        <f>Assumptions!M64</f>
        <v>40</v>
      </c>
      <c r="O259" s="555">
        <f>Assumptions!N64</f>
        <v>40</v>
      </c>
    </row>
    <row r="260" spans="2:15" outlineLevel="1">
      <c r="B260" s="282"/>
      <c r="C260" s="285" t="s">
        <v>28</v>
      </c>
      <c r="F260" s="98" t="s">
        <v>61</v>
      </c>
      <c r="G260" s="283"/>
      <c r="H260" s="284"/>
      <c r="I260" s="126">
        <f>I268/I$256*$I$252</f>
        <v>80.051640340218725</v>
      </c>
      <c r="J260" s="554">
        <f t="shared" ref="J260:J264" si="97">J268/J$256*$I$252</f>
        <v>76.304347826086953</v>
      </c>
      <c r="K260" s="555">
        <f>Assumptions!J65</f>
        <v>70</v>
      </c>
      <c r="L260" s="555">
        <f>Assumptions!K65</f>
        <v>65</v>
      </c>
      <c r="M260" s="555">
        <f>Assumptions!L65</f>
        <v>60</v>
      </c>
      <c r="N260" s="555">
        <f>Assumptions!M65</f>
        <v>60</v>
      </c>
      <c r="O260" s="555">
        <f>Assumptions!N65</f>
        <v>55</v>
      </c>
    </row>
    <row r="261" spans="2:15" outlineLevel="1">
      <c r="B261" s="282"/>
      <c r="C261" s="285" t="s">
        <v>163</v>
      </c>
      <c r="F261" s="98" t="s">
        <v>61</v>
      </c>
      <c r="G261" s="286"/>
      <c r="H261" s="287"/>
      <c r="I261" s="126">
        <f t="shared" ref="I261:I264" si="98">I269/I$256*$I$252</f>
        <v>31.93195625759417</v>
      </c>
      <c r="J261" s="554">
        <f t="shared" si="97"/>
        <v>32.391304347826086</v>
      </c>
      <c r="K261" s="555">
        <f>Assumptions!J66</f>
        <v>30</v>
      </c>
      <c r="L261" s="555">
        <f>Assumptions!K66</f>
        <v>30</v>
      </c>
      <c r="M261" s="555">
        <f>Assumptions!L66</f>
        <v>30</v>
      </c>
      <c r="N261" s="555">
        <f>Assumptions!M66</f>
        <v>30</v>
      </c>
      <c r="O261" s="555">
        <f>Assumptions!N66</f>
        <v>30</v>
      </c>
    </row>
    <row r="262" spans="2:15" outlineLevel="1">
      <c r="B262" s="282"/>
      <c r="C262" s="285" t="s">
        <v>164</v>
      </c>
      <c r="F262" s="98" t="s">
        <v>61</v>
      </c>
      <c r="G262" s="286"/>
      <c r="H262" s="287"/>
      <c r="I262" s="126">
        <f t="shared" si="98"/>
        <v>3.9914945321992712</v>
      </c>
      <c r="J262" s="554">
        <f t="shared" si="97"/>
        <v>2.6086956521739131</v>
      </c>
      <c r="K262" s="555">
        <f>Assumptions!J67</f>
        <v>3</v>
      </c>
      <c r="L262" s="555">
        <f>Assumptions!K67</f>
        <v>3</v>
      </c>
      <c r="M262" s="555">
        <f>Assumptions!L67</f>
        <v>3</v>
      </c>
      <c r="N262" s="555">
        <f>Assumptions!M67</f>
        <v>3</v>
      </c>
      <c r="O262" s="555">
        <f>Assumptions!N67</f>
        <v>3</v>
      </c>
    </row>
    <row r="263" spans="2:15" outlineLevel="1">
      <c r="B263" s="282"/>
      <c r="C263" s="281" t="s">
        <v>20</v>
      </c>
      <c r="F263" s="98" t="s">
        <v>61</v>
      </c>
      <c r="G263" s="286"/>
      <c r="H263" s="287"/>
      <c r="I263" s="126">
        <f t="shared" si="98"/>
        <v>41.467193195625768</v>
      </c>
      <c r="J263" s="554">
        <f t="shared" si="97"/>
        <v>39.565217391304344</v>
      </c>
      <c r="K263" s="555">
        <f>Assumptions!J68</f>
        <v>40</v>
      </c>
      <c r="L263" s="555">
        <f>Assumptions!K68</f>
        <v>40</v>
      </c>
      <c r="M263" s="555">
        <f>Assumptions!L68</f>
        <v>40</v>
      </c>
      <c r="N263" s="555">
        <f>Assumptions!M68</f>
        <v>40</v>
      </c>
      <c r="O263" s="555">
        <f>Assumptions!N68</f>
        <v>40</v>
      </c>
    </row>
    <row r="264" spans="2:15" outlineLevel="1">
      <c r="B264" s="282"/>
      <c r="C264" s="281" t="s">
        <v>165</v>
      </c>
      <c r="F264" s="98" t="s">
        <v>61</v>
      </c>
      <c r="G264" s="286"/>
      <c r="H264" s="287"/>
      <c r="I264" s="126">
        <f t="shared" si="98"/>
        <v>10.865735115431351</v>
      </c>
      <c r="J264" s="554">
        <f t="shared" si="97"/>
        <v>10.434782608695652</v>
      </c>
      <c r="K264" s="555">
        <f>Assumptions!J69</f>
        <v>10</v>
      </c>
      <c r="L264" s="555">
        <f>Assumptions!K69</f>
        <v>10</v>
      </c>
      <c r="M264" s="555">
        <f>Assumptions!L69</f>
        <v>10</v>
      </c>
      <c r="N264" s="555">
        <f>Assumptions!M69</f>
        <v>10</v>
      </c>
      <c r="O264" s="555">
        <f>Assumptions!N69</f>
        <v>10</v>
      </c>
    </row>
    <row r="265" spans="2:15" outlineLevel="1">
      <c r="B265" s="282"/>
      <c r="C265" s="281"/>
      <c r="F265" s="98"/>
      <c r="H265" s="256"/>
      <c r="I265" s="256"/>
      <c r="J265" s="256"/>
      <c r="K265" s="256"/>
      <c r="L265" s="256"/>
      <c r="M265" s="256"/>
      <c r="N265" s="256"/>
      <c r="O265" s="256"/>
    </row>
    <row r="266" spans="2:15" outlineLevel="1">
      <c r="B266" s="280" t="s">
        <v>29</v>
      </c>
      <c r="C266" s="281"/>
      <c r="F266" s="98"/>
      <c r="H266" s="256"/>
      <c r="I266" s="443"/>
    </row>
    <row r="267" spans="2:15" outlineLevel="1">
      <c r="B267" s="282"/>
      <c r="C267" s="281" t="s">
        <v>14</v>
      </c>
      <c r="F267" s="98" t="s">
        <v>170</v>
      </c>
      <c r="I267" s="127">
        <f>I157</f>
        <v>27.8</v>
      </c>
      <c r="J267" s="554">
        <f t="shared" ref="J267" si="99">J157</f>
        <v>28.3</v>
      </c>
      <c r="K267" s="127">
        <f>K259*K$255/K$252</f>
        <v>31.535713654441007</v>
      </c>
      <c r="L267" s="127">
        <f t="shared" ref="L267:O267" si="100">L259*L$255/L$252</f>
        <v>31.472407953463776</v>
      </c>
      <c r="M267" s="127">
        <f t="shared" si="100"/>
        <v>30.806466279010873</v>
      </c>
      <c r="N267" s="127">
        <f t="shared" si="100"/>
        <v>30.359543149757897</v>
      </c>
      <c r="O267" s="127">
        <f t="shared" si="100"/>
        <v>29.373714371342466</v>
      </c>
    </row>
    <row r="268" spans="2:15" outlineLevel="1">
      <c r="B268" s="282"/>
      <c r="C268" s="285" t="s">
        <v>28</v>
      </c>
      <c r="F268" s="98" t="s">
        <v>170</v>
      </c>
      <c r="I268" s="127">
        <f t="shared" ref="I268:J270" si="101">I158</f>
        <v>36.1</v>
      </c>
      <c r="J268" s="554">
        <f t="shared" si="101"/>
        <v>35.1</v>
      </c>
      <c r="K268" s="127">
        <f>K260*K$256/K$252</f>
        <v>33.501588599204595</v>
      </c>
      <c r="L268" s="127">
        <f t="shared" ref="L268:O268" si="102">L260*L$256/L$252</f>
        <v>32.409890750925442</v>
      </c>
      <c r="M268" s="127">
        <f t="shared" si="102"/>
        <v>31.442892164856985</v>
      </c>
      <c r="N268" s="127">
        <f t="shared" si="102"/>
        <v>33.032871265819736</v>
      </c>
      <c r="O268" s="127">
        <f t="shared" si="102"/>
        <v>31.671588238995202</v>
      </c>
    </row>
    <row r="269" spans="2:15" outlineLevel="1">
      <c r="B269" s="282"/>
      <c r="C269" s="285" t="s">
        <v>163</v>
      </c>
      <c r="F269" s="98" t="s">
        <v>170</v>
      </c>
      <c r="I269" s="127">
        <f t="shared" si="101"/>
        <v>14.4</v>
      </c>
      <c r="J269" s="554">
        <f t="shared" si="101"/>
        <v>14.9</v>
      </c>
      <c r="K269" s="127">
        <f t="shared" ref="K269:O269" si="103">K261*K$256/K$252</f>
        <v>14.357823685373399</v>
      </c>
      <c r="L269" s="127">
        <f t="shared" si="103"/>
        <v>14.958411115811742</v>
      </c>
      <c r="M269" s="127">
        <f t="shared" si="103"/>
        <v>15.721446082428493</v>
      </c>
      <c r="N269" s="127">
        <f t="shared" si="103"/>
        <v>16.516435632909868</v>
      </c>
      <c r="O269" s="127">
        <f t="shared" si="103"/>
        <v>17.275411766724655</v>
      </c>
    </row>
    <row r="270" spans="2:15" outlineLevel="1">
      <c r="B270" s="282"/>
      <c r="C270" s="285" t="s">
        <v>164</v>
      </c>
      <c r="F270" s="98" t="s">
        <v>170</v>
      </c>
      <c r="I270" s="127">
        <f t="shared" si="101"/>
        <v>1.8</v>
      </c>
      <c r="J270" s="554">
        <f t="shared" si="101"/>
        <v>1.2</v>
      </c>
      <c r="K270" s="127">
        <f t="shared" ref="K270:O270" si="104">K262*K$256/K$252</f>
        <v>1.4357823685373399</v>
      </c>
      <c r="L270" s="127">
        <f t="shared" si="104"/>
        <v>1.4958411115811743</v>
      </c>
      <c r="M270" s="127">
        <f t="shared" si="104"/>
        <v>1.5721446082428492</v>
      </c>
      <c r="N270" s="127">
        <f t="shared" si="104"/>
        <v>1.6516435632909867</v>
      </c>
      <c r="O270" s="127">
        <f t="shared" si="104"/>
        <v>1.7275411766724655</v>
      </c>
    </row>
    <row r="271" spans="2:15" outlineLevel="1">
      <c r="B271" s="282"/>
      <c r="C271" s="281" t="s">
        <v>20</v>
      </c>
      <c r="F271" s="98" t="s">
        <v>170</v>
      </c>
      <c r="I271" s="126">
        <f>I172</f>
        <v>18.700000000000003</v>
      </c>
      <c r="J271" s="554">
        <f t="shared" ref="J271" si="105">J172</f>
        <v>18.2</v>
      </c>
      <c r="K271" s="127">
        <f t="shared" ref="K271:O271" si="106">K263*K$256/K$252</f>
        <v>19.143764913831198</v>
      </c>
      <c r="L271" s="127">
        <f t="shared" si="106"/>
        <v>19.944548154415656</v>
      </c>
      <c r="M271" s="127">
        <f t="shared" si="106"/>
        <v>20.961928109904658</v>
      </c>
      <c r="N271" s="127">
        <f t="shared" si="106"/>
        <v>22.021914177213159</v>
      </c>
      <c r="O271" s="127">
        <f t="shared" si="106"/>
        <v>23.033882355632876</v>
      </c>
    </row>
    <row r="272" spans="2:15" outlineLevel="1">
      <c r="B272" s="282"/>
      <c r="C272" s="281" t="s">
        <v>165</v>
      </c>
      <c r="F272" s="98" t="s">
        <v>170</v>
      </c>
      <c r="I272" s="556">
        <f t="shared" ref="I272:J272" si="107">I173</f>
        <v>4.9000000000000004</v>
      </c>
      <c r="J272" s="557">
        <f t="shared" si="107"/>
        <v>4.8</v>
      </c>
      <c r="K272" s="558">
        <f t="shared" ref="K272:O272" si="108">K264*K$256/K$252</f>
        <v>4.7859412284577996</v>
      </c>
      <c r="L272" s="556">
        <f t="shared" si="108"/>
        <v>4.9861370386039141</v>
      </c>
      <c r="M272" s="556">
        <f t="shared" si="108"/>
        <v>5.2404820274761645</v>
      </c>
      <c r="N272" s="556">
        <f t="shared" si="108"/>
        <v>5.5054785443032896</v>
      </c>
      <c r="O272" s="556">
        <f t="shared" si="108"/>
        <v>5.7584705889082191</v>
      </c>
    </row>
    <row r="273" spans="1:15" outlineLevel="1">
      <c r="B273" s="282"/>
      <c r="C273" s="288" t="s">
        <v>30</v>
      </c>
      <c r="D273" s="120"/>
      <c r="E273" s="120"/>
      <c r="F273" s="121" t="s">
        <v>170</v>
      </c>
      <c r="I273" s="559">
        <f>SUM(I267:I270)-SUM(I271:I272)</f>
        <v>56.500000000000007</v>
      </c>
      <c r="J273" s="559">
        <f t="shared" ref="J273" si="109">SUM(J267:J270)-SUM(J271:J272)</f>
        <v>56.500000000000014</v>
      </c>
      <c r="K273" s="559">
        <f t="shared" ref="K273" si="110">SUM(K267:K270)-SUM(K271:K272)</f>
        <v>56.901202165267357</v>
      </c>
      <c r="L273" s="559">
        <f t="shared" ref="L273" si="111">SUM(L267:L270)-SUM(L271:L272)</f>
        <v>55.405865738762557</v>
      </c>
      <c r="M273" s="559">
        <f t="shared" ref="M273" si="112">SUM(M267:M270)-SUM(M271:M272)</f>
        <v>53.340538997158376</v>
      </c>
      <c r="N273" s="559">
        <f t="shared" ref="N273" si="113">SUM(N267:N270)-SUM(N271:N272)</f>
        <v>54.033100890262034</v>
      </c>
      <c r="O273" s="559">
        <f t="shared" ref="O273" si="114">SUM(O267:O270)-SUM(O271:O272)</f>
        <v>51.255902609193697</v>
      </c>
    </row>
    <row r="274" spans="1:15" outlineLevel="1">
      <c r="B274" s="282"/>
      <c r="C274" s="281"/>
      <c r="F274" s="98"/>
      <c r="H274" s="256"/>
      <c r="I274" s="256"/>
      <c r="J274" s="256"/>
      <c r="K274" s="256"/>
      <c r="L274" s="256"/>
      <c r="M274" s="256"/>
      <c r="N274" s="256"/>
      <c r="O274" s="256"/>
    </row>
    <row r="275" spans="1:15" ht="13.5" outlineLevel="1" thickBot="1">
      <c r="B275" s="288" t="s">
        <v>112</v>
      </c>
      <c r="C275" s="282"/>
      <c r="F275" s="121" t="s">
        <v>170</v>
      </c>
      <c r="H275" s="256"/>
      <c r="I275" s="256"/>
      <c r="J275" s="530">
        <f>I273-J273</f>
        <v>0</v>
      </c>
      <c r="K275" s="530">
        <f t="shared" ref="K275:O275" si="115">J273-K273</f>
        <v>-0.40120216526734254</v>
      </c>
      <c r="L275" s="530">
        <f t="shared" si="115"/>
        <v>1.4953364265047995</v>
      </c>
      <c r="M275" s="530">
        <f t="shared" si="115"/>
        <v>2.0653267416041814</v>
      </c>
      <c r="N275" s="530">
        <f t="shared" si="115"/>
        <v>-0.69256189310365812</v>
      </c>
      <c r="O275" s="530">
        <f t="shared" si="115"/>
        <v>2.7771982810683369</v>
      </c>
    </row>
    <row r="276" spans="1:15" ht="13.5" outlineLevel="1" thickTop="1">
      <c r="B276" s="10"/>
      <c r="C276" s="289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</row>
    <row r="278" spans="1:15" ht="12.75" customHeight="1">
      <c r="A278" s="88"/>
      <c r="B278" s="1"/>
      <c r="C278" s="3"/>
      <c r="D278" s="3"/>
      <c r="E278" s="3"/>
      <c r="F278" s="87"/>
      <c r="G278" s="3"/>
      <c r="H278" s="3"/>
      <c r="I278" s="3"/>
      <c r="J278" s="3"/>
      <c r="K278" s="3"/>
      <c r="L278" s="3"/>
      <c r="M278" s="3"/>
      <c r="N278" s="3"/>
      <c r="O278" s="131" t="str">
        <f>$O$1</f>
        <v>CURRENTLY RUNNING: BASE CASE SCENARIO</v>
      </c>
    </row>
    <row r="279" spans="1:15" ht="42" customHeight="1">
      <c r="B279" s="457" t="str">
        <f>B$2</f>
        <v>Blu Containers</v>
      </c>
      <c r="C279" s="457"/>
      <c r="D279" s="457"/>
      <c r="E279" s="457"/>
      <c r="F279" s="457"/>
      <c r="G279" s="457"/>
      <c r="H279" s="457"/>
      <c r="I279" s="457"/>
      <c r="J279" s="457"/>
      <c r="K279" s="457"/>
      <c r="L279" s="457"/>
      <c r="M279" s="457"/>
      <c r="N279" s="457"/>
      <c r="O279" s="457"/>
    </row>
    <row r="280" spans="1:15" ht="18">
      <c r="B280" s="453" t="s">
        <v>63</v>
      </c>
      <c r="C280" s="453"/>
      <c r="D280" s="453"/>
      <c r="E280" s="453"/>
      <c r="F280" s="453"/>
      <c r="G280" s="453"/>
      <c r="H280" s="453"/>
      <c r="I280" s="453"/>
      <c r="J280" s="453"/>
      <c r="K280" s="453"/>
      <c r="L280" s="453"/>
      <c r="M280" s="453"/>
      <c r="N280" s="453"/>
      <c r="O280" s="453"/>
    </row>
    <row r="281" spans="1:15" ht="3" customHeight="1" thickBot="1">
      <c r="A281" s="89"/>
      <c r="B281" s="365"/>
      <c r="C281" s="366"/>
      <c r="D281" s="366"/>
      <c r="E281" s="366"/>
      <c r="F281" s="367"/>
      <c r="G281" s="366"/>
      <c r="H281" s="366"/>
      <c r="I281" s="366"/>
      <c r="J281" s="366"/>
      <c r="K281" s="366"/>
      <c r="L281" s="366"/>
      <c r="M281" s="366"/>
      <c r="N281" s="366"/>
      <c r="O281" s="366"/>
    </row>
    <row r="282" spans="1:15" outlineLevel="1">
      <c r="B282" s="165" t="s">
        <v>171</v>
      </c>
      <c r="F282"/>
      <c r="O282" s="18"/>
    </row>
    <row r="283" spans="1:15" outlineLevel="1">
      <c r="F283"/>
      <c r="H283" s="3"/>
      <c r="I283" s="3"/>
      <c r="J283" s="3"/>
      <c r="K283" s="95" t="s">
        <v>2</v>
      </c>
      <c r="L283" s="19"/>
      <c r="M283" s="19"/>
      <c r="N283" s="19"/>
      <c r="O283" s="19"/>
    </row>
    <row r="284" spans="1:15" outlineLevel="1">
      <c r="F284"/>
      <c r="G284" s="202"/>
      <c r="H284" s="290"/>
      <c r="I284" s="290"/>
      <c r="J284" s="356">
        <f t="shared" ref="J284:O284" si="116">J$7</f>
        <v>2026</v>
      </c>
      <c r="K284" s="358">
        <f t="shared" si="116"/>
        <v>2027</v>
      </c>
      <c r="L284" s="358">
        <f t="shared" si="116"/>
        <v>2028</v>
      </c>
      <c r="M284" s="358">
        <f t="shared" si="116"/>
        <v>2029</v>
      </c>
      <c r="N284" s="358">
        <f t="shared" si="116"/>
        <v>2030</v>
      </c>
      <c r="O284" s="358">
        <f t="shared" si="116"/>
        <v>2031</v>
      </c>
    </row>
    <row r="285" spans="1:15" ht="6" customHeight="1" outlineLevel="1"/>
    <row r="286" spans="1:15" outlineLevel="1">
      <c r="B286" s="120" t="s">
        <v>127</v>
      </c>
      <c r="K286" s="291"/>
      <c r="L286" s="291"/>
      <c r="M286" s="291"/>
      <c r="N286" s="291"/>
      <c r="O286" s="291"/>
    </row>
    <row r="287" spans="1:15" ht="6" customHeight="1" outlineLevel="1"/>
    <row r="288" spans="1:15" outlineLevel="1">
      <c r="A288" s="120">
        <v>1</v>
      </c>
      <c r="C288" s="120" t="s">
        <v>13</v>
      </c>
    </row>
    <row r="289" spans="1:15" outlineLevel="1">
      <c r="D289" t="s">
        <v>65</v>
      </c>
      <c r="K289" s="184">
        <f>J291</f>
        <v>0.3</v>
      </c>
      <c r="L289" s="184">
        <f t="shared" ref="L289:O289" si="117">K291</f>
        <v>-7.2164496600635175E-16</v>
      </c>
      <c r="M289" s="184">
        <f t="shared" si="117"/>
        <v>-7.2164496600635175E-16</v>
      </c>
      <c r="N289" s="184">
        <f t="shared" si="117"/>
        <v>6.4343671376380405</v>
      </c>
      <c r="O289" s="184">
        <f t="shared" si="117"/>
        <v>7.0989131263748773</v>
      </c>
    </row>
    <row r="290" spans="1:15" outlineLevel="1">
      <c r="D290" t="s">
        <v>71</v>
      </c>
      <c r="J290" s="10"/>
      <c r="K290" s="460">
        <f>K142</f>
        <v>-0.30000000000000071</v>
      </c>
      <c r="L290" s="460">
        <f t="shared" ref="L290:O290" si="118">L142</f>
        <v>0</v>
      </c>
      <c r="M290" s="460">
        <f t="shared" si="118"/>
        <v>6.4343671376380414</v>
      </c>
      <c r="N290" s="460">
        <f t="shared" si="118"/>
        <v>0.66454598873683679</v>
      </c>
      <c r="O290" s="460">
        <f t="shared" si="118"/>
        <v>-4.8320107656825009</v>
      </c>
    </row>
    <row r="291" spans="1:15" outlineLevel="1">
      <c r="D291" t="s">
        <v>67</v>
      </c>
      <c r="I291" s="292"/>
      <c r="J291" s="255">
        <f>Model!J156</f>
        <v>0.3</v>
      </c>
      <c r="K291" s="255">
        <f>SUM(K289:K290)</f>
        <v>-7.2164496600635175E-16</v>
      </c>
      <c r="L291" s="255">
        <f t="shared" ref="L291:O291" si="119">SUM(L289:L290)</f>
        <v>-7.2164496600635175E-16</v>
      </c>
      <c r="M291" s="255">
        <f t="shared" si="119"/>
        <v>6.4343671376380405</v>
      </c>
      <c r="N291" s="255">
        <f t="shared" si="119"/>
        <v>7.0989131263748773</v>
      </c>
      <c r="O291" s="255">
        <f t="shared" si="119"/>
        <v>2.2669023606923764</v>
      </c>
    </row>
    <row r="292" spans="1:15" ht="6" customHeight="1" outlineLevel="1"/>
    <row r="293" spans="1:15" outlineLevel="1">
      <c r="D293" t="s">
        <v>68</v>
      </c>
      <c r="K293" s="560">
        <f>Assumptions!$N$27</f>
        <v>0.01</v>
      </c>
      <c r="L293" s="560">
        <f>Assumptions!$N$27</f>
        <v>0.01</v>
      </c>
      <c r="M293" s="560">
        <f>Assumptions!$N$27</f>
        <v>0.01</v>
      </c>
      <c r="N293" s="560">
        <f>Assumptions!$N$27</f>
        <v>0.01</v>
      </c>
      <c r="O293" s="560">
        <f>Assumptions!$N$27</f>
        <v>0.01</v>
      </c>
    </row>
    <row r="294" spans="1:15" outlineLevel="1">
      <c r="D294" s="120" t="s">
        <v>70</v>
      </c>
      <c r="K294" s="561">
        <f>K293*K289</f>
        <v>3.0000000000000001E-3</v>
      </c>
      <c r="L294" s="561">
        <f t="shared" ref="L294:O294" si="120">L293*L289</f>
        <v>-7.2164496600635178E-18</v>
      </c>
      <c r="M294" s="561">
        <f t="shared" si="120"/>
        <v>-7.2164496600635178E-18</v>
      </c>
      <c r="N294" s="561">
        <f t="shared" si="120"/>
        <v>6.4343671376380404E-2</v>
      </c>
      <c r="O294" s="561">
        <f t="shared" si="120"/>
        <v>7.098913126374877E-2</v>
      </c>
    </row>
    <row r="295" spans="1:15" ht="6" customHeight="1" outlineLevel="1"/>
    <row r="296" spans="1:15" outlineLevel="1"/>
    <row r="297" spans="1:15" outlineLevel="1">
      <c r="A297" s="120">
        <v>3</v>
      </c>
      <c r="C297" s="120" t="s">
        <v>129</v>
      </c>
      <c r="E297" s="93"/>
      <c r="F297"/>
    </row>
    <row r="298" spans="1:15" outlineLevel="1">
      <c r="B298" s="120"/>
      <c r="D298" t="s">
        <v>11</v>
      </c>
      <c r="H298" s="293"/>
      <c r="I298" s="293"/>
      <c r="J298" s="293"/>
      <c r="K298" s="208">
        <f>K125</f>
        <v>39.002260200324059</v>
      </c>
      <c r="L298" s="208">
        <f t="shared" ref="L298:O298" si="121">L125</f>
        <v>50.999910701199148</v>
      </c>
      <c r="M298" s="208">
        <f t="shared" si="121"/>
        <v>59.639506103147269</v>
      </c>
      <c r="N298" s="208">
        <f t="shared" si="121"/>
        <v>49.222239625863629</v>
      </c>
      <c r="O298" s="208">
        <f t="shared" si="121"/>
        <v>41.96118697262979</v>
      </c>
    </row>
    <row r="299" spans="1:15" outlineLevel="1">
      <c r="B299" s="120"/>
      <c r="D299" t="s">
        <v>102</v>
      </c>
      <c r="H299" s="293"/>
      <c r="I299" s="293"/>
      <c r="J299" s="293"/>
      <c r="K299" s="208">
        <f>K131</f>
        <v>-16</v>
      </c>
      <c r="L299" s="208">
        <f t="shared" ref="L299:O299" si="122">L131</f>
        <v>-17</v>
      </c>
      <c r="M299" s="208">
        <f t="shared" si="122"/>
        <v>-17.3</v>
      </c>
      <c r="N299" s="208">
        <f t="shared" si="122"/>
        <v>-17.5</v>
      </c>
      <c r="O299" s="208">
        <f t="shared" si="122"/>
        <v>-18</v>
      </c>
    </row>
    <row r="300" spans="1:15" outlineLevel="1">
      <c r="B300" s="120"/>
      <c r="D300" t="s">
        <v>135</v>
      </c>
      <c r="H300" s="293"/>
      <c r="I300" s="293"/>
      <c r="J300" s="293"/>
      <c r="K300" s="208">
        <f>K315</f>
        <v>-25</v>
      </c>
      <c r="L300" s="208">
        <f t="shared" ref="L300:O300" si="123">L315</f>
        <v>-25</v>
      </c>
      <c r="M300" s="208">
        <f t="shared" si="123"/>
        <v>-25</v>
      </c>
      <c r="N300" s="208">
        <f t="shared" si="123"/>
        <v>-25</v>
      </c>
      <c r="O300" s="208">
        <f t="shared" si="123"/>
        <v>-25</v>
      </c>
    </row>
    <row r="301" spans="1:15" outlineLevel="1">
      <c r="B301" s="120"/>
      <c r="D301" t="s">
        <v>120</v>
      </c>
      <c r="H301" s="293"/>
      <c r="I301" s="293"/>
      <c r="J301" s="293"/>
      <c r="K301" s="208">
        <f>K335</f>
        <v>0</v>
      </c>
      <c r="L301" s="208">
        <f t="shared" ref="L301:O301" si="124">L335</f>
        <v>0</v>
      </c>
      <c r="M301" s="208">
        <f t="shared" si="124"/>
        <v>0</v>
      </c>
      <c r="N301" s="208">
        <f t="shared" si="124"/>
        <v>0</v>
      </c>
      <c r="O301" s="208">
        <f t="shared" si="124"/>
        <v>0</v>
      </c>
    </row>
    <row r="302" spans="1:15" outlineLevel="1">
      <c r="B302" s="120"/>
      <c r="D302" t="s">
        <v>126</v>
      </c>
      <c r="H302" s="293"/>
      <c r="I302" s="293"/>
      <c r="J302" s="293"/>
      <c r="K302" s="529">
        <f>-K340</f>
        <v>-4.2957591397849475</v>
      </c>
      <c r="L302" s="529">
        <f t="shared" ref="L302:O302" si="125">-L340</f>
        <v>-6.2059815216055361</v>
      </c>
      <c r="M302" s="529">
        <f t="shared" si="125"/>
        <v>-7.705569205641952</v>
      </c>
      <c r="N302" s="529">
        <f t="shared" si="125"/>
        <v>-6.0576936371267918</v>
      </c>
      <c r="O302" s="529">
        <f t="shared" si="125"/>
        <v>-3.7931977383122915</v>
      </c>
    </row>
    <row r="303" spans="1:15" outlineLevel="1">
      <c r="D303" s="120" t="s">
        <v>134</v>
      </c>
      <c r="K303" s="188">
        <f>SUM(K298:K302)</f>
        <v>-6.2934989394608882</v>
      </c>
      <c r="L303" s="188">
        <f t="shared" ref="L303:O303" si="126">SUM(L298:L302)</f>
        <v>2.7939291795936123</v>
      </c>
      <c r="M303" s="188">
        <f t="shared" si="126"/>
        <v>9.6339368975053201</v>
      </c>
      <c r="N303" s="188">
        <f t="shared" si="126"/>
        <v>0.66454598873683768</v>
      </c>
      <c r="O303" s="188">
        <f t="shared" si="126"/>
        <v>-4.8320107656825018</v>
      </c>
    </row>
    <row r="304" spans="1:15" outlineLevel="1">
      <c r="C304" s="120"/>
    </row>
    <row r="305" spans="1:15" outlineLevel="1">
      <c r="D305" t="s">
        <v>136</v>
      </c>
      <c r="K305" s="184">
        <f>J307</f>
        <v>0</v>
      </c>
      <c r="L305" s="184">
        <f t="shared" ref="L305:O305" si="127">K307</f>
        <v>5.9934989394608884</v>
      </c>
      <c r="M305" s="184">
        <f t="shared" si="127"/>
        <v>3.199569759867277</v>
      </c>
      <c r="N305" s="184">
        <f t="shared" si="127"/>
        <v>0</v>
      </c>
      <c r="O305" s="184">
        <f t="shared" si="127"/>
        <v>0</v>
      </c>
    </row>
    <row r="306" spans="1:15" outlineLevel="1">
      <c r="D306" t="s">
        <v>66</v>
      </c>
      <c r="J306" s="10"/>
      <c r="K306" s="529">
        <f>-MIN(K303+K289,K305)</f>
        <v>5.9934989394608884</v>
      </c>
      <c r="L306" s="529">
        <f>-MIN(L303+L289,L305)</f>
        <v>-2.7939291795936114</v>
      </c>
      <c r="M306" s="529">
        <f t="shared" ref="M306:O306" si="128">-MIN(M303+M289,M305)</f>
        <v>-3.199569759867277</v>
      </c>
      <c r="N306" s="529">
        <f t="shared" si="128"/>
        <v>0</v>
      </c>
      <c r="O306" s="529">
        <f t="shared" si="128"/>
        <v>0</v>
      </c>
    </row>
    <row r="307" spans="1:15" outlineLevel="1">
      <c r="D307" t="s">
        <v>137</v>
      </c>
      <c r="I307" s="292"/>
      <c r="J307" s="255">
        <f>J171</f>
        <v>0</v>
      </c>
      <c r="K307" s="255">
        <f>SUM(K305:K306)</f>
        <v>5.9934989394608884</v>
      </c>
      <c r="L307" s="255">
        <f t="shared" ref="L307:O307" si="129">SUM(L305:L306)</f>
        <v>3.199569759867277</v>
      </c>
      <c r="M307" s="255">
        <f t="shared" si="129"/>
        <v>0</v>
      </c>
      <c r="N307" s="255">
        <f t="shared" si="129"/>
        <v>0</v>
      </c>
      <c r="O307" s="255">
        <f t="shared" si="129"/>
        <v>0</v>
      </c>
    </row>
    <row r="308" spans="1:15" ht="6" customHeight="1" outlineLevel="1"/>
    <row r="309" spans="1:15" outlineLevel="1">
      <c r="D309" t="s">
        <v>68</v>
      </c>
      <c r="K309" s="562">
        <f>Assumptions!$N$28</f>
        <v>0.06</v>
      </c>
      <c r="L309" s="562">
        <f>Assumptions!$N$28</f>
        <v>0.06</v>
      </c>
      <c r="M309" s="562">
        <f>Assumptions!$N$28</f>
        <v>0.06</v>
      </c>
      <c r="N309" s="562">
        <f>Assumptions!$N$28</f>
        <v>0.06</v>
      </c>
      <c r="O309" s="562">
        <f>Assumptions!$N$28</f>
        <v>0.06</v>
      </c>
    </row>
    <row r="310" spans="1:15" outlineLevel="1">
      <c r="D310" s="120" t="s">
        <v>69</v>
      </c>
      <c r="K310" s="561">
        <f>K309*K305</f>
        <v>0</v>
      </c>
      <c r="L310" s="561">
        <f t="shared" ref="L310:O310" si="130">L309*L305</f>
        <v>0.35960993636765332</v>
      </c>
      <c r="M310" s="561">
        <f t="shared" si="130"/>
        <v>0.19197418559203661</v>
      </c>
      <c r="N310" s="561">
        <f t="shared" si="130"/>
        <v>0</v>
      </c>
      <c r="O310" s="561">
        <f t="shared" si="130"/>
        <v>0</v>
      </c>
    </row>
    <row r="311" spans="1:15" ht="6" customHeight="1" outlineLevel="1"/>
    <row r="312" spans="1:15" outlineLevel="1"/>
    <row r="313" spans="1:15" outlineLevel="1">
      <c r="A313" s="120">
        <v>2</v>
      </c>
      <c r="C313" s="120" t="s">
        <v>130</v>
      </c>
    </row>
    <row r="314" spans="1:15" outlineLevel="1">
      <c r="D314" t="s">
        <v>65</v>
      </c>
      <c r="K314" s="184">
        <f>J316</f>
        <v>200</v>
      </c>
      <c r="L314" s="184">
        <f t="shared" ref="L314:O314" si="131">K316</f>
        <v>175</v>
      </c>
      <c r="M314" s="184">
        <f t="shared" si="131"/>
        <v>150</v>
      </c>
      <c r="N314" s="184">
        <f t="shared" si="131"/>
        <v>125</v>
      </c>
      <c r="O314" s="184">
        <f t="shared" si="131"/>
        <v>100</v>
      </c>
    </row>
    <row r="315" spans="1:15" outlineLevel="1">
      <c r="D315" t="s">
        <v>66</v>
      </c>
      <c r="J315" s="10"/>
      <c r="K315" s="563">
        <f>Assumptions!J72</f>
        <v>-25</v>
      </c>
      <c r="L315" s="563">
        <f>Assumptions!K72</f>
        <v>-25</v>
      </c>
      <c r="M315" s="563">
        <f>Assumptions!L72</f>
        <v>-25</v>
      </c>
      <c r="N315" s="563">
        <f>Assumptions!M72</f>
        <v>-25</v>
      </c>
      <c r="O315" s="563">
        <f>Assumptions!N72</f>
        <v>-25</v>
      </c>
    </row>
    <row r="316" spans="1:15" outlineLevel="1">
      <c r="D316" t="s">
        <v>67</v>
      </c>
      <c r="I316" s="292"/>
      <c r="J316" s="255">
        <f>J177</f>
        <v>200</v>
      </c>
      <c r="K316" s="255">
        <f>SUM(K314:K315)</f>
        <v>175</v>
      </c>
      <c r="L316" s="255">
        <f t="shared" ref="L316:O316" si="132">SUM(L314:L315)</f>
        <v>150</v>
      </c>
      <c r="M316" s="255">
        <f t="shared" si="132"/>
        <v>125</v>
      </c>
      <c r="N316" s="255">
        <f t="shared" si="132"/>
        <v>100</v>
      </c>
      <c r="O316" s="255">
        <f t="shared" si="132"/>
        <v>75</v>
      </c>
    </row>
    <row r="317" spans="1:15" ht="6" customHeight="1" outlineLevel="1"/>
    <row r="318" spans="1:15" outlineLevel="1">
      <c r="D318" t="s">
        <v>68</v>
      </c>
      <c r="K318" s="562">
        <f>Assumptions!$N$29</f>
        <v>0.06</v>
      </c>
      <c r="L318" s="562">
        <f>Assumptions!$N$29</f>
        <v>0.06</v>
      </c>
      <c r="M318" s="562">
        <f>Assumptions!$N$29</f>
        <v>0.06</v>
      </c>
      <c r="N318" s="562">
        <f>Assumptions!$N$29</f>
        <v>0.06</v>
      </c>
      <c r="O318" s="562">
        <f>Assumptions!$N$29</f>
        <v>0.06</v>
      </c>
    </row>
    <row r="319" spans="1:15" outlineLevel="1">
      <c r="D319" s="120" t="s">
        <v>69</v>
      </c>
      <c r="K319" s="561">
        <f>K318*K314</f>
        <v>12</v>
      </c>
      <c r="L319" s="561">
        <f t="shared" ref="L319:O319" si="133">L318*L314</f>
        <v>10.5</v>
      </c>
      <c r="M319" s="561">
        <f t="shared" si="133"/>
        <v>9</v>
      </c>
      <c r="N319" s="561">
        <f t="shared" si="133"/>
        <v>7.5</v>
      </c>
      <c r="O319" s="561">
        <f t="shared" si="133"/>
        <v>6</v>
      </c>
    </row>
    <row r="320" spans="1:15" outlineLevel="1"/>
    <row r="321" spans="1:15" outlineLevel="1"/>
    <row r="322" spans="1:15" ht="13.5" outlineLevel="1" thickBot="1">
      <c r="C322" s="120" t="s">
        <v>74</v>
      </c>
      <c r="K322" s="186">
        <f>K319+K310-K294</f>
        <v>11.997</v>
      </c>
      <c r="L322" s="186">
        <f t="shared" ref="L322:O322" si="134">L319+L310-L294</f>
        <v>10.859609936367653</v>
      </c>
      <c r="M322" s="186">
        <f t="shared" si="134"/>
        <v>9.1919741855920361</v>
      </c>
      <c r="N322" s="186">
        <f t="shared" si="134"/>
        <v>7.4356563286236197</v>
      </c>
      <c r="O322" s="186">
        <f t="shared" si="134"/>
        <v>5.9290108687362508</v>
      </c>
    </row>
    <row r="323" spans="1:15" ht="13.5" outlineLevel="1" thickTop="1">
      <c r="B323" s="10"/>
      <c r="C323" s="10"/>
      <c r="D323" s="10"/>
      <c r="E323" s="10"/>
      <c r="F323" s="130"/>
      <c r="G323" s="10"/>
      <c r="H323" s="10"/>
      <c r="I323" s="10"/>
      <c r="J323" s="10"/>
      <c r="K323" s="10"/>
      <c r="L323" s="10"/>
      <c r="M323" s="10"/>
      <c r="N323" s="10"/>
      <c r="O323" s="10"/>
    </row>
    <row r="325" spans="1:15" ht="12.75" customHeight="1">
      <c r="A325" s="88"/>
      <c r="B325" s="1"/>
      <c r="C325" s="3"/>
      <c r="D325" s="3"/>
      <c r="E325" s="3"/>
      <c r="F325" s="87"/>
      <c r="G325" s="3"/>
      <c r="H325" s="3"/>
      <c r="I325" s="3"/>
      <c r="J325" s="3"/>
      <c r="K325" s="3"/>
      <c r="L325" s="3"/>
      <c r="M325" s="3"/>
      <c r="N325" s="3"/>
      <c r="O325" s="131" t="str">
        <f>$O$1</f>
        <v>CURRENTLY RUNNING: BASE CASE SCENARIO</v>
      </c>
    </row>
    <row r="326" spans="1:15" ht="42" customHeight="1">
      <c r="B326" s="457" t="str">
        <f>B$2</f>
        <v>Blu Containers</v>
      </c>
      <c r="C326" s="457"/>
      <c r="D326" s="457"/>
      <c r="E326" s="457"/>
      <c r="F326" s="457"/>
      <c r="G326" s="457"/>
      <c r="H326" s="457"/>
      <c r="I326" s="457"/>
      <c r="J326" s="457"/>
      <c r="K326" s="457"/>
      <c r="L326" s="457"/>
      <c r="M326" s="457"/>
      <c r="N326" s="457"/>
      <c r="O326" s="457"/>
    </row>
    <row r="327" spans="1:15" ht="18">
      <c r="B327" s="453" t="s">
        <v>113</v>
      </c>
      <c r="C327" s="453"/>
      <c r="D327" s="453"/>
      <c r="E327" s="453"/>
      <c r="F327" s="453"/>
      <c r="G327" s="453"/>
      <c r="H327" s="453"/>
      <c r="I327" s="453"/>
      <c r="J327" s="453"/>
      <c r="K327" s="453"/>
      <c r="L327" s="453"/>
      <c r="M327" s="453"/>
      <c r="N327" s="453"/>
      <c r="O327" s="453"/>
    </row>
    <row r="328" spans="1:15" ht="3" customHeight="1" thickBot="1">
      <c r="A328" s="89"/>
      <c r="B328" s="365"/>
      <c r="C328" s="366"/>
      <c r="D328" s="366"/>
      <c r="E328" s="366"/>
      <c r="F328" s="367"/>
      <c r="G328" s="366"/>
      <c r="H328" s="366"/>
      <c r="I328" s="366"/>
      <c r="J328" s="366"/>
      <c r="K328" s="366"/>
      <c r="L328" s="366"/>
      <c r="M328" s="366"/>
      <c r="N328" s="366"/>
      <c r="O328" s="366"/>
    </row>
    <row r="329" spans="1:15" outlineLevel="1">
      <c r="B329" s="165" t="s">
        <v>171</v>
      </c>
      <c r="F329"/>
      <c r="O329" s="18"/>
    </row>
    <row r="330" spans="1:15" outlineLevel="1">
      <c r="F330"/>
      <c r="H330" s="3"/>
      <c r="I330" s="3"/>
      <c r="J330" s="3"/>
      <c r="K330" s="95" t="s">
        <v>2</v>
      </c>
      <c r="L330" s="19"/>
      <c r="M330" s="19"/>
      <c r="N330" s="19"/>
      <c r="O330" s="19"/>
    </row>
    <row r="331" spans="1:15" outlineLevel="1">
      <c r="F331"/>
      <c r="G331" s="202"/>
      <c r="H331" s="290"/>
      <c r="I331" s="290"/>
      <c r="J331" s="356">
        <f t="shared" ref="J331:O331" si="135">J$7</f>
        <v>2026</v>
      </c>
      <c r="K331" s="358">
        <f t="shared" si="135"/>
        <v>2027</v>
      </c>
      <c r="L331" s="358">
        <f t="shared" si="135"/>
        <v>2028</v>
      </c>
      <c r="M331" s="358">
        <f t="shared" si="135"/>
        <v>2029</v>
      </c>
      <c r="N331" s="358">
        <f t="shared" si="135"/>
        <v>2030</v>
      </c>
      <c r="O331" s="358">
        <f t="shared" si="135"/>
        <v>2031</v>
      </c>
    </row>
    <row r="332" spans="1:15" outlineLevel="1"/>
    <row r="333" spans="1:15" ht="13.35" customHeight="1" outlineLevel="1">
      <c r="B333" s="120"/>
      <c r="C333" s="120" t="s">
        <v>114</v>
      </c>
    </row>
    <row r="334" spans="1:15" ht="13.35" customHeight="1" outlineLevel="1">
      <c r="D334" t="s">
        <v>65</v>
      </c>
      <c r="G334" s="98"/>
      <c r="K334" s="184">
        <f>J336</f>
        <v>120</v>
      </c>
      <c r="L334" s="184">
        <f t="shared" ref="L334:O334" si="136">K336</f>
        <v>120</v>
      </c>
      <c r="M334" s="184">
        <f t="shared" si="136"/>
        <v>120</v>
      </c>
      <c r="N334" s="184">
        <f t="shared" si="136"/>
        <v>120</v>
      </c>
      <c r="O334" s="184">
        <f t="shared" si="136"/>
        <v>120</v>
      </c>
    </row>
    <row r="335" spans="1:15" ht="13.35" customHeight="1" outlineLevel="1">
      <c r="D335" t="s">
        <v>123</v>
      </c>
      <c r="J335" s="10"/>
      <c r="K335" s="563">
        <f>Assumptions!J73</f>
        <v>0</v>
      </c>
      <c r="L335" s="563">
        <f>Assumptions!K73</f>
        <v>0</v>
      </c>
      <c r="M335" s="563">
        <f>Assumptions!L73</f>
        <v>0</v>
      </c>
      <c r="N335" s="563">
        <f>Assumptions!M73</f>
        <v>0</v>
      </c>
      <c r="O335" s="563">
        <f>Assumptions!N73</f>
        <v>0</v>
      </c>
    </row>
    <row r="336" spans="1:15" ht="13.35" customHeight="1" outlineLevel="1">
      <c r="D336" t="s">
        <v>67</v>
      </c>
      <c r="J336" s="255">
        <f>J182</f>
        <v>120</v>
      </c>
      <c r="K336" s="255">
        <f>SUM(K334:K335)</f>
        <v>120</v>
      </c>
      <c r="L336" s="255">
        <f t="shared" ref="L336:O336" si="137">SUM(L334:L335)</f>
        <v>120</v>
      </c>
      <c r="M336" s="255">
        <f t="shared" si="137"/>
        <v>120</v>
      </c>
      <c r="N336" s="255">
        <f t="shared" si="137"/>
        <v>120</v>
      </c>
      <c r="O336" s="255">
        <f t="shared" si="137"/>
        <v>120</v>
      </c>
    </row>
    <row r="337" spans="2:15" ht="11.25" customHeight="1" outlineLevel="1"/>
    <row r="338" spans="2:15" ht="13.35" customHeight="1" outlineLevel="1">
      <c r="D338" t="s">
        <v>115</v>
      </c>
      <c r="K338" s="562">
        <f>Assumptions!N10</f>
        <v>0.2</v>
      </c>
      <c r="L338" s="123">
        <f>K338</f>
        <v>0.2</v>
      </c>
      <c r="M338" s="123">
        <f>L338</f>
        <v>0.2</v>
      </c>
      <c r="N338" s="123">
        <f>M338</f>
        <v>0.2</v>
      </c>
      <c r="O338" s="123">
        <f>N338</f>
        <v>0.2</v>
      </c>
    </row>
    <row r="339" spans="2:15" ht="13.35" customHeight="1" outlineLevel="1">
      <c r="D339" t="s">
        <v>8</v>
      </c>
      <c r="K339" s="184">
        <f>K104</f>
        <v>21.478795698924735</v>
      </c>
      <c r="L339" s="184">
        <f t="shared" ref="L339:O339" si="138">L104</f>
        <v>31.029907608027678</v>
      </c>
      <c r="M339" s="184">
        <f t="shared" si="138"/>
        <v>38.527846028209758</v>
      </c>
      <c r="N339" s="184">
        <f t="shared" si="138"/>
        <v>30.288468185633956</v>
      </c>
      <c r="O339" s="184">
        <f t="shared" si="138"/>
        <v>18.965988691561456</v>
      </c>
    </row>
    <row r="340" spans="2:15" ht="13.35" customHeight="1" outlineLevel="1">
      <c r="C340" s="120"/>
      <c r="D340" s="120" t="s">
        <v>116</v>
      </c>
      <c r="K340" s="561">
        <f>MAX(K339*K338,0)</f>
        <v>4.2957591397849475</v>
      </c>
      <c r="L340" s="561">
        <f t="shared" ref="L340:O340" si="139">MAX(L339*L338,0)</f>
        <v>6.2059815216055361</v>
      </c>
      <c r="M340" s="561">
        <f t="shared" si="139"/>
        <v>7.705569205641952</v>
      </c>
      <c r="N340" s="561">
        <f t="shared" si="139"/>
        <v>6.0576936371267918</v>
      </c>
      <c r="O340" s="561">
        <f t="shared" si="139"/>
        <v>3.7931977383122915</v>
      </c>
    </row>
    <row r="341" spans="2:15" outlineLevel="1"/>
    <row r="342" spans="2:15" outlineLevel="1"/>
    <row r="343" spans="2:15" ht="13.35" customHeight="1" outlineLevel="1">
      <c r="B343" s="120"/>
      <c r="C343" s="120" t="s">
        <v>117</v>
      </c>
    </row>
    <row r="344" spans="2:15" ht="13.35" customHeight="1" outlineLevel="1">
      <c r="D344" t="s">
        <v>65</v>
      </c>
      <c r="K344" s="184">
        <f>J347</f>
        <v>138.5</v>
      </c>
      <c r="L344" s="184">
        <f t="shared" ref="L344:O344" si="140">K347</f>
        <v>155.68303655913979</v>
      </c>
      <c r="M344" s="184">
        <f t="shared" si="140"/>
        <v>180.50696264556194</v>
      </c>
      <c r="N344" s="184">
        <f t="shared" si="140"/>
        <v>211.32923946812974</v>
      </c>
      <c r="O344" s="184">
        <f t="shared" si="140"/>
        <v>235.5600140166369</v>
      </c>
    </row>
    <row r="345" spans="2:15" ht="13.35" customHeight="1" outlineLevel="1">
      <c r="D345" t="s">
        <v>8</v>
      </c>
      <c r="K345" s="184">
        <f>K104</f>
        <v>21.478795698924735</v>
      </c>
      <c r="L345" s="184">
        <f t="shared" ref="L345:O345" si="141">L104</f>
        <v>31.029907608027678</v>
      </c>
      <c r="M345" s="184">
        <f t="shared" si="141"/>
        <v>38.527846028209758</v>
      </c>
      <c r="N345" s="184">
        <f t="shared" si="141"/>
        <v>30.288468185633956</v>
      </c>
      <c r="O345" s="184">
        <f t="shared" si="141"/>
        <v>18.965988691561456</v>
      </c>
    </row>
    <row r="346" spans="2:15" ht="13.35" customHeight="1" outlineLevel="1">
      <c r="D346" t="s">
        <v>116</v>
      </c>
      <c r="J346" s="10"/>
      <c r="K346" s="460">
        <f>-K340</f>
        <v>-4.2957591397849475</v>
      </c>
      <c r="L346" s="460">
        <f t="shared" ref="L346:O346" si="142">-L340</f>
        <v>-6.2059815216055361</v>
      </c>
      <c r="M346" s="460">
        <f t="shared" si="142"/>
        <v>-7.705569205641952</v>
      </c>
      <c r="N346" s="460">
        <f t="shared" si="142"/>
        <v>-6.0576936371267918</v>
      </c>
      <c r="O346" s="460">
        <f t="shared" si="142"/>
        <v>-3.7931977383122915</v>
      </c>
    </row>
    <row r="347" spans="2:15" ht="13.35" customHeight="1" outlineLevel="1">
      <c r="D347" s="120" t="s">
        <v>67</v>
      </c>
      <c r="E347" s="120"/>
      <c r="F347" s="148"/>
      <c r="G347" s="120"/>
      <c r="H347" s="120"/>
      <c r="I347" s="120"/>
      <c r="J347" s="188">
        <f>J183</f>
        <v>138.5</v>
      </c>
      <c r="K347" s="188">
        <f>SUM(K344:K346)</f>
        <v>155.68303655913979</v>
      </c>
      <c r="L347" s="188">
        <f t="shared" ref="L347:O347" si="143">SUM(L344:L346)</f>
        <v>180.50696264556194</v>
      </c>
      <c r="M347" s="188">
        <f t="shared" si="143"/>
        <v>211.32923946812974</v>
      </c>
      <c r="N347" s="188">
        <f t="shared" si="143"/>
        <v>235.5600140166369</v>
      </c>
      <c r="O347" s="188">
        <f t="shared" si="143"/>
        <v>250.73280496988605</v>
      </c>
    </row>
    <row r="348" spans="2:15" outlineLevel="1">
      <c r="B348" s="10"/>
      <c r="C348" s="10"/>
      <c r="D348" s="10"/>
      <c r="E348" s="10"/>
      <c r="F348" s="130"/>
      <c r="G348" s="10"/>
      <c r="H348" s="10"/>
      <c r="I348" s="10"/>
      <c r="J348" s="10"/>
      <c r="K348" s="10"/>
      <c r="L348" s="10"/>
      <c r="M348" s="10"/>
      <c r="N348" s="10"/>
      <c r="O348" s="10"/>
    </row>
    <row r="350" spans="2:15" ht="12.75" customHeight="1">
      <c r="B350" s="1"/>
      <c r="C350" s="3"/>
      <c r="D350" s="3"/>
      <c r="E350" s="3"/>
      <c r="F350" s="87"/>
      <c r="G350" s="3"/>
      <c r="H350" s="3"/>
      <c r="I350" s="3"/>
      <c r="J350" s="3"/>
      <c r="K350" s="3"/>
      <c r="L350" s="3"/>
      <c r="M350" s="3"/>
      <c r="N350" s="3"/>
      <c r="O350" s="131" t="str">
        <f>$O$1</f>
        <v>CURRENTLY RUNNING: BASE CASE SCENARIO</v>
      </c>
    </row>
    <row r="351" spans="2:15" ht="42" customHeight="1">
      <c r="B351" s="457" t="str">
        <f>B$2</f>
        <v>Blu Containers</v>
      </c>
      <c r="C351" s="457"/>
      <c r="D351" s="457"/>
      <c r="E351" s="457"/>
      <c r="F351" s="457"/>
      <c r="G351" s="457"/>
      <c r="H351" s="457"/>
      <c r="I351" s="457"/>
      <c r="J351" s="457"/>
      <c r="K351" s="457"/>
      <c r="L351" s="457"/>
      <c r="M351" s="457"/>
      <c r="N351" s="457"/>
      <c r="O351" s="457"/>
    </row>
    <row r="352" spans="2:15" ht="18">
      <c r="B352" s="453" t="s">
        <v>218</v>
      </c>
      <c r="C352" s="453"/>
      <c r="D352" s="453"/>
      <c r="E352" s="453"/>
      <c r="F352" s="453"/>
      <c r="G352" s="453"/>
      <c r="H352" s="453"/>
      <c r="I352" s="453"/>
      <c r="J352" s="453"/>
      <c r="K352" s="453"/>
      <c r="L352" s="453"/>
      <c r="M352" s="453"/>
      <c r="N352" s="453"/>
      <c r="O352" s="453"/>
    </row>
    <row r="353" spans="2:15" ht="3" customHeight="1" thickBot="1">
      <c r="B353" s="365"/>
      <c r="C353" s="366"/>
      <c r="D353" s="366"/>
      <c r="E353" s="366"/>
      <c r="F353" s="367"/>
      <c r="G353" s="366"/>
      <c r="H353" s="366"/>
      <c r="I353" s="366"/>
      <c r="J353" s="366"/>
      <c r="K353" s="366"/>
      <c r="L353" s="366"/>
      <c r="M353" s="366"/>
      <c r="N353" s="366"/>
      <c r="O353" s="366"/>
    </row>
    <row r="354" spans="2:15" outlineLevel="1">
      <c r="B354" s="165" t="s">
        <v>277</v>
      </c>
      <c r="F354"/>
      <c r="O354" s="18"/>
    </row>
    <row r="355" spans="2:15" outlineLevel="1">
      <c r="F355"/>
      <c r="H355" s="229" t="s">
        <v>276</v>
      </c>
      <c r="I355" s="3"/>
      <c r="J355" s="3"/>
      <c r="K355" s="95" t="s">
        <v>2</v>
      </c>
      <c r="L355" s="19"/>
      <c r="M355" s="19"/>
      <c r="N355" s="19"/>
      <c r="O355" s="19"/>
    </row>
    <row r="356" spans="2:15" outlineLevel="1">
      <c r="F356"/>
      <c r="G356" s="202"/>
      <c r="H356" s="564">
        <f>H$7</f>
        <v>2024</v>
      </c>
      <c r="I356" s="564">
        <f>I$7</f>
        <v>2025</v>
      </c>
      <c r="J356" s="565">
        <f t="shared" ref="J356:O356" si="144">J$7</f>
        <v>2026</v>
      </c>
      <c r="K356" s="430">
        <f t="shared" si="144"/>
        <v>2027</v>
      </c>
      <c r="L356" s="430">
        <f t="shared" si="144"/>
        <v>2028</v>
      </c>
      <c r="M356" s="430">
        <f t="shared" si="144"/>
        <v>2029</v>
      </c>
      <c r="N356" s="430">
        <f t="shared" si="144"/>
        <v>2030</v>
      </c>
      <c r="O356" s="430">
        <f t="shared" si="144"/>
        <v>2031</v>
      </c>
    </row>
    <row r="357" spans="2:15" outlineLevel="1"/>
    <row r="358" spans="2:15" outlineLevel="1">
      <c r="B358" s="566" t="s">
        <v>278</v>
      </c>
      <c r="C358" s="566"/>
      <c r="D358" s="566"/>
      <c r="E358" s="566"/>
      <c r="F358" s="567"/>
      <c r="G358" s="566"/>
      <c r="H358" s="566"/>
      <c r="I358" s="566"/>
      <c r="J358" s="568"/>
      <c r="K358" s="568"/>
      <c r="L358" s="568"/>
      <c r="M358" s="568"/>
      <c r="N358" s="568"/>
      <c r="O358" s="568"/>
    </row>
    <row r="359" spans="2:15" outlineLevel="1">
      <c r="C359" t="s">
        <v>195</v>
      </c>
      <c r="H359" s="569"/>
      <c r="I359" s="569">
        <f t="shared" ref="I359:O359" si="145">I85/H85-1</f>
        <v>0.10819672131147562</v>
      </c>
      <c r="J359" s="569">
        <f t="shared" si="145"/>
        <v>-0.13440405748098072</v>
      </c>
      <c r="K359" s="569">
        <f t="shared" si="145"/>
        <v>0.17091221963205649</v>
      </c>
      <c r="L359" s="569">
        <f t="shared" si="145"/>
        <v>9.1701960784313696E-2</v>
      </c>
      <c r="M359" s="569">
        <f t="shared" si="145"/>
        <v>7.3782635783665729E-2</v>
      </c>
      <c r="N359" s="569">
        <f t="shared" si="145"/>
        <v>-1.450744545658833E-2</v>
      </c>
      <c r="O359" s="569">
        <f t="shared" si="145"/>
        <v>-3.24717922648744E-2</v>
      </c>
    </row>
    <row r="360" spans="2:15" outlineLevel="1">
      <c r="C360" t="s">
        <v>39</v>
      </c>
      <c r="H360" s="569">
        <f t="shared" ref="H360:O360" si="146">H92/H85</f>
        <v>0.23512880562060876</v>
      </c>
      <c r="I360" s="569">
        <f t="shared" si="146"/>
        <v>0.28909551986475074</v>
      </c>
      <c r="J360" s="569">
        <f t="shared" si="146"/>
        <v>0.16162109374999983</v>
      </c>
      <c r="K360" s="569">
        <f t="shared" si="146"/>
        <v>0.25527626023396238</v>
      </c>
      <c r="L360" s="569">
        <f t="shared" si="146"/>
        <v>0.28771791115567447</v>
      </c>
      <c r="M360" s="569">
        <f t="shared" si="146"/>
        <v>0.30508420338700737</v>
      </c>
      <c r="N360" s="569">
        <f t="shared" si="146"/>
        <v>0.25957267175714949</v>
      </c>
      <c r="O360" s="569">
        <f t="shared" si="146"/>
        <v>0.19988220306609289</v>
      </c>
    </row>
    <row r="361" spans="2:15" outlineLevel="1">
      <c r="C361" t="s">
        <v>40</v>
      </c>
      <c r="H361" s="569">
        <f t="shared" ref="H361:O361" si="147">H95/H85</f>
        <v>0.16299765807962513</v>
      </c>
      <c r="I361" s="569">
        <f t="shared" si="147"/>
        <v>0.22358410819949293</v>
      </c>
      <c r="J361" s="569">
        <f t="shared" si="147"/>
        <v>8.4472656249999833E-2</v>
      </c>
      <c r="K361" s="569">
        <f t="shared" si="147"/>
        <v>0.18782640083446694</v>
      </c>
      <c r="L361" s="569">
        <f t="shared" si="147"/>
        <v>0.22383288310767316</v>
      </c>
      <c r="M361" s="569">
        <f t="shared" si="147"/>
        <v>0.24355528386382519</v>
      </c>
      <c r="N361" s="569">
        <f t="shared" si="147"/>
        <v>0.19504435462645756</v>
      </c>
      <c r="O361" s="569">
        <f t="shared" si="147"/>
        <v>0.13098079055241199</v>
      </c>
    </row>
    <row r="362" spans="2:15" outlineLevel="1">
      <c r="B362" s="120"/>
      <c r="C362" t="s">
        <v>279</v>
      </c>
      <c r="H362" s="569">
        <f t="shared" ref="H362:O362" si="148">H104/H85</f>
        <v>6.604215456674456E-2</v>
      </c>
      <c r="I362" s="569">
        <f t="shared" si="148"/>
        <v>0.10016906170752338</v>
      </c>
      <c r="J362" s="569">
        <f t="shared" si="148"/>
        <v>1.074218749999983E-2</v>
      </c>
      <c r="K362" s="569">
        <f t="shared" si="148"/>
        <v>8.956856915936201E-2</v>
      </c>
      <c r="L362" s="569">
        <f t="shared" si="148"/>
        <v>0.11852831254429012</v>
      </c>
      <c r="M362" s="569">
        <f t="shared" si="148"/>
        <v>0.13705660569704212</v>
      </c>
      <c r="N362" s="569">
        <f t="shared" si="148"/>
        <v>0.10933248133391225</v>
      </c>
      <c r="O362" s="569">
        <f t="shared" si="148"/>
        <v>7.0759335638243603E-2</v>
      </c>
    </row>
    <row r="363" spans="2:15" outlineLevel="1">
      <c r="B363" s="566" t="s">
        <v>280</v>
      </c>
      <c r="C363" s="566"/>
      <c r="D363" s="566"/>
      <c r="E363" s="566"/>
      <c r="F363" s="567"/>
      <c r="G363" s="566"/>
      <c r="H363" s="566"/>
      <c r="I363" s="566"/>
      <c r="J363" s="570"/>
      <c r="K363" s="570"/>
      <c r="L363" s="570"/>
      <c r="M363" s="570"/>
      <c r="N363" s="570"/>
      <c r="O363" s="570"/>
    </row>
    <row r="364" spans="2:15" outlineLevel="1">
      <c r="C364" t="s">
        <v>124</v>
      </c>
      <c r="H364" s="569">
        <f t="shared" ref="H364:O364" si="149">H104/H184</f>
        <v>5.8823529411764545E-2</v>
      </c>
      <c r="I364" s="569">
        <f t="shared" si="149"/>
        <v>9.1611905682257563E-2</v>
      </c>
      <c r="J364" s="569">
        <f t="shared" si="149"/>
        <v>8.5106382978722053E-3</v>
      </c>
      <c r="K364" s="569">
        <f t="shared" si="149"/>
        <v>7.7911198189798969E-2</v>
      </c>
      <c r="L364" s="569">
        <f t="shared" si="149"/>
        <v>0.10325853129941095</v>
      </c>
      <c r="M364" s="569">
        <f t="shared" si="149"/>
        <v>0.11628266219442947</v>
      </c>
      <c r="N364" s="569">
        <f t="shared" si="149"/>
        <v>8.518524859833293E-2</v>
      </c>
      <c r="O364" s="569">
        <f t="shared" si="149"/>
        <v>5.1158107503062829E-2</v>
      </c>
    </row>
    <row r="365" spans="2:15" outlineLevel="1">
      <c r="B365" s="120"/>
      <c r="C365" t="s">
        <v>281</v>
      </c>
      <c r="H365" s="569">
        <f t="shared" ref="H365:O365" si="150">H95*(1-$E$226)/(H171+H177+H184)</f>
        <v>4.6191545844394472E-2</v>
      </c>
      <c r="I365" s="569">
        <f t="shared" si="150"/>
        <v>7.1087450899317811E-2</v>
      </c>
      <c r="J365" s="569">
        <f t="shared" si="150"/>
        <v>2.4525627044710965E-2</v>
      </c>
      <c r="K365" s="569">
        <f t="shared" si="150"/>
        <v>6.4108495670705298E-2</v>
      </c>
      <c r="L365" s="569">
        <f t="shared" si="150"/>
        <v>8.3949979438759495E-2</v>
      </c>
      <c r="M365" s="569">
        <f t="shared" si="150"/>
        <v>9.7523071939712228E-2</v>
      </c>
      <c r="N365" s="569">
        <f t="shared" si="150"/>
        <v>7.7095538938052363E-2</v>
      </c>
      <c r="O365" s="569">
        <f t="shared" si="150"/>
        <v>5.1196244704900598E-2</v>
      </c>
    </row>
    <row r="366" spans="2:15" outlineLevel="1">
      <c r="B366" s="566" t="s">
        <v>282</v>
      </c>
      <c r="C366" s="566"/>
      <c r="D366" s="566"/>
      <c r="E366" s="566"/>
      <c r="F366" s="567"/>
      <c r="G366" s="566"/>
      <c r="H366" s="566"/>
      <c r="I366" s="566"/>
      <c r="J366" s="566"/>
      <c r="K366" s="566"/>
      <c r="L366" s="566"/>
      <c r="M366" s="566"/>
      <c r="N366" s="566"/>
      <c r="O366" s="566"/>
    </row>
    <row r="367" spans="2:15" outlineLevel="1">
      <c r="C367" t="s">
        <v>283</v>
      </c>
      <c r="H367" s="571">
        <f t="shared" ref="H367:O367" si="151">(H171+H177)/H92</f>
        <v>4.980079681274904</v>
      </c>
      <c r="I367" s="571">
        <f t="shared" si="151"/>
        <v>3.2894736842105248</v>
      </c>
      <c r="J367" s="571">
        <f t="shared" si="151"/>
        <v>6.0422960725075594</v>
      </c>
      <c r="K367" s="571">
        <f t="shared" si="151"/>
        <v>2.9566386943756964</v>
      </c>
      <c r="L367" s="571">
        <f t="shared" si="151"/>
        <v>2.0339125029608289</v>
      </c>
      <c r="M367" s="571">
        <f t="shared" si="151"/>
        <v>1.4575233935310705</v>
      </c>
      <c r="N367" s="571">
        <f t="shared" si="151"/>
        <v>1.3906342696251857</v>
      </c>
      <c r="O367" s="571">
        <f t="shared" si="151"/>
        <v>1.3998947836571982</v>
      </c>
    </row>
    <row r="368" spans="2:15" outlineLevel="1">
      <c r="C368" t="s">
        <v>284</v>
      </c>
      <c r="H368" s="571">
        <f t="shared" ref="H368:O368" si="152">(H171+H177-H156)/H92</f>
        <v>4.6533864541832708</v>
      </c>
      <c r="I368" s="571">
        <f t="shared" si="152"/>
        <v>2.9809941520467822</v>
      </c>
      <c r="J368" s="571">
        <f t="shared" si="152"/>
        <v>6.0332326283987978</v>
      </c>
      <c r="K368" s="571">
        <f t="shared" si="152"/>
        <v>2.9566386943756964</v>
      </c>
      <c r="L368" s="571">
        <f t="shared" si="152"/>
        <v>2.0339125029608289</v>
      </c>
      <c r="M368" s="571">
        <f t="shared" si="152"/>
        <v>1.3824974685256706</v>
      </c>
      <c r="N368" s="571">
        <f t="shared" si="152"/>
        <v>1.2919143509188962</v>
      </c>
      <c r="O368" s="571">
        <f t="shared" si="152"/>
        <v>1.3575824531266192</v>
      </c>
    </row>
    <row r="369" spans="1:15" outlineLevel="1">
      <c r="C369" t="s">
        <v>285</v>
      </c>
      <c r="H369" s="571">
        <f t="shared" ref="H369:O369" si="153">H92/H97</f>
        <v>3.346666666666664</v>
      </c>
      <c r="I369" s="571">
        <f t="shared" si="153"/>
        <v>4.5600000000000023</v>
      </c>
      <c r="J369" s="571">
        <f t="shared" si="153"/>
        <v>2.3642857142857117</v>
      </c>
      <c r="K369" s="571">
        <f t="shared" si="153"/>
        <v>5.1026062967354742</v>
      </c>
      <c r="L369" s="571">
        <f t="shared" si="153"/>
        <v>6.9360314450846703</v>
      </c>
      <c r="M369" s="571">
        <f t="shared" si="153"/>
        <v>9.330086775866036</v>
      </c>
      <c r="N369" s="571">
        <f t="shared" si="153"/>
        <v>9.67091939788207</v>
      </c>
      <c r="O369" s="571">
        <f t="shared" si="153"/>
        <v>9.0361539548028293</v>
      </c>
    </row>
    <row r="370" spans="1:15" outlineLevel="1">
      <c r="C370" t="s">
        <v>286</v>
      </c>
      <c r="H370" s="571">
        <f t="shared" ref="H370:O370" si="154">(H171+H177)/H184</f>
        <v>1.0429703796412182</v>
      </c>
      <c r="I370" s="571">
        <f t="shared" si="154"/>
        <v>0.86973328179358311</v>
      </c>
      <c r="J370" s="571">
        <f t="shared" si="154"/>
        <v>0.77369439071566726</v>
      </c>
      <c r="K370" s="571">
        <f t="shared" si="154"/>
        <v>0.65652751507122198</v>
      </c>
      <c r="L370" s="571">
        <f t="shared" si="154"/>
        <v>0.50980372771116489</v>
      </c>
      <c r="M370" s="571">
        <f t="shared" si="154"/>
        <v>0.3772682429134771</v>
      </c>
      <c r="N370" s="571">
        <f t="shared" si="154"/>
        <v>0.2812464733318436</v>
      </c>
      <c r="O370" s="571">
        <f t="shared" si="154"/>
        <v>0.20230203260834204</v>
      </c>
    </row>
    <row r="371" spans="1:15" outlineLevel="1">
      <c r="C371" t="s">
        <v>287</v>
      </c>
      <c r="H371" s="569">
        <f t="shared" ref="H371:O371" si="155">(H171+H177)/(H171+H177+H184)</f>
        <v>0.5105166428425566</v>
      </c>
      <c r="I371" s="569">
        <f t="shared" si="155"/>
        <v>0.46516435807318579</v>
      </c>
      <c r="J371" s="569">
        <f t="shared" si="155"/>
        <v>0.4362050163576881</v>
      </c>
      <c r="K371" s="569">
        <f t="shared" si="155"/>
        <v>0.39632756419563292</v>
      </c>
      <c r="L371" s="569">
        <f t="shared" si="155"/>
        <v>0.33766225261876792</v>
      </c>
      <c r="M371" s="569">
        <f t="shared" si="155"/>
        <v>0.27392502866064988</v>
      </c>
      <c r="N371" s="569">
        <f t="shared" si="155"/>
        <v>0.21951004680658392</v>
      </c>
      <c r="O371" s="569">
        <f t="shared" si="155"/>
        <v>0.16826223953847652</v>
      </c>
    </row>
    <row r="372" spans="1:15" outlineLevel="1">
      <c r="B372" s="566" t="s">
        <v>288</v>
      </c>
      <c r="C372" s="566"/>
      <c r="D372" s="566"/>
      <c r="E372" s="566"/>
      <c r="F372" s="567"/>
      <c r="G372" s="566"/>
      <c r="H372" s="566"/>
      <c r="I372" s="566"/>
      <c r="J372" s="566"/>
      <c r="K372" s="566"/>
      <c r="L372" s="566"/>
      <c r="M372" s="566"/>
      <c r="N372" s="566"/>
      <c r="O372" s="566"/>
    </row>
    <row r="373" spans="1:15" outlineLevel="1">
      <c r="C373" t="s">
        <v>289</v>
      </c>
      <c r="H373" s="571">
        <f t="shared" ref="H373:O373" si="156">H161/H174</f>
        <v>4.1695652173913036</v>
      </c>
      <c r="I373" s="571">
        <f t="shared" si="156"/>
        <v>4.2881355932203391</v>
      </c>
      <c r="J373" s="571">
        <f t="shared" si="156"/>
        <v>3.4695652173913047</v>
      </c>
      <c r="K373" s="571">
        <f t="shared" si="156"/>
        <v>2.7012784254469784</v>
      </c>
      <c r="L373" s="571">
        <f t="shared" si="156"/>
        <v>2.8558770998105598</v>
      </c>
      <c r="M373" s="571">
        <f t="shared" si="156"/>
        <v>3.2812751125332733</v>
      </c>
      <c r="N373" s="571">
        <f t="shared" si="156"/>
        <v>3.2207702209608038</v>
      </c>
      <c r="O373" s="571">
        <f t="shared" si="156"/>
        <v>2.8589243148338719</v>
      </c>
    </row>
    <row r="374" spans="1:15" outlineLevel="1">
      <c r="C374" t="s">
        <v>290</v>
      </c>
      <c r="H374" s="571">
        <f t="shared" ref="H374:O374" si="157">(H161-H158)/H174</f>
        <v>2.5826086956521728</v>
      </c>
      <c r="I374" s="571">
        <f t="shared" si="157"/>
        <v>2.758474576271186</v>
      </c>
      <c r="J374" s="571">
        <f t="shared" si="157"/>
        <v>1.9434782608695655</v>
      </c>
      <c r="K374" s="571">
        <f t="shared" si="157"/>
        <v>1.5816928560643337</v>
      </c>
      <c r="L374" s="571">
        <f t="shared" si="157"/>
        <v>1.7037406970226641</v>
      </c>
      <c r="M374" s="571">
        <f t="shared" si="157"/>
        <v>2.0812751125332736</v>
      </c>
      <c r="N374" s="571">
        <f t="shared" si="157"/>
        <v>2.0207702209608036</v>
      </c>
      <c r="O374" s="571">
        <f t="shared" si="157"/>
        <v>1.758924314833872</v>
      </c>
    </row>
    <row r="375" spans="1:15" outlineLevel="1">
      <c r="C375" t="s">
        <v>291</v>
      </c>
      <c r="H375" s="571">
        <f t="shared" ref="H375:O375" si="158">H156/H174</f>
        <v>0.71304347826086811</v>
      </c>
      <c r="I375" s="571">
        <f t="shared" si="158"/>
        <v>0.89406779661016922</v>
      </c>
      <c r="J375" s="571">
        <f t="shared" si="158"/>
        <v>1.3043478260869565E-2</v>
      </c>
      <c r="K375" s="571">
        <f t="shared" si="158"/>
        <v>-1.1872771212490522E-16</v>
      </c>
      <c r="L375" s="571">
        <f t="shared" si="158"/>
        <v>-1.2629511125123685E-16</v>
      </c>
      <c r="M375" s="571">
        <f t="shared" si="158"/>
        <v>0.24556394254964567</v>
      </c>
      <c r="N375" s="571">
        <f t="shared" si="158"/>
        <v>0.25788541610866389</v>
      </c>
      <c r="O375" s="571">
        <f t="shared" si="158"/>
        <v>7.873279287242721E-2</v>
      </c>
    </row>
    <row r="376" spans="1:15" outlineLevel="1">
      <c r="B376" s="572"/>
      <c r="C376" s="572"/>
      <c r="D376" s="572"/>
      <c r="E376" s="572"/>
      <c r="F376" s="573"/>
      <c r="G376" s="572"/>
      <c r="H376" s="572"/>
      <c r="I376" s="572"/>
      <c r="J376" s="572"/>
      <c r="K376" s="572"/>
      <c r="L376" s="572"/>
      <c r="M376" s="572"/>
      <c r="N376" s="572"/>
      <c r="O376" s="572"/>
    </row>
    <row r="377" spans="1:15">
      <c r="H377" s="571"/>
      <c r="I377" s="571"/>
      <c r="J377" s="571"/>
      <c r="K377" s="571"/>
      <c r="L377" s="571"/>
      <c r="M377" s="571"/>
      <c r="N377" s="571"/>
      <c r="O377" s="571"/>
    </row>
    <row r="378" spans="1:15" ht="12.75" customHeight="1">
      <c r="A378" s="88"/>
      <c r="B378" s="1"/>
      <c r="C378" s="3"/>
      <c r="D378" s="3"/>
      <c r="E378" s="3"/>
      <c r="F378" s="87"/>
      <c r="G378" s="3"/>
      <c r="H378" s="574"/>
      <c r="I378" s="574"/>
      <c r="J378" s="574"/>
      <c r="K378" s="574"/>
      <c r="L378" s="574"/>
      <c r="M378" s="574"/>
      <c r="N378" s="574"/>
      <c r="O378" s="575" t="str">
        <f>$O$1</f>
        <v>CURRENTLY RUNNING: BASE CASE SCENARIO</v>
      </c>
    </row>
    <row r="379" spans="1:15" ht="42" customHeight="1">
      <c r="B379" s="457" t="str">
        <f>B$2</f>
        <v>Blu Containers</v>
      </c>
      <c r="C379" s="457"/>
      <c r="D379" s="457"/>
      <c r="E379" s="457"/>
      <c r="F379" s="457"/>
      <c r="G379" s="457"/>
      <c r="H379" s="457"/>
      <c r="I379" s="457"/>
      <c r="J379" s="457"/>
      <c r="K379" s="457"/>
      <c r="L379" s="457"/>
      <c r="M379" s="457"/>
      <c r="N379" s="457"/>
      <c r="O379" s="457"/>
    </row>
    <row r="380" spans="1:15" ht="18">
      <c r="B380" s="453" t="s">
        <v>219</v>
      </c>
      <c r="C380" s="453"/>
      <c r="D380" s="453"/>
      <c r="E380" s="453"/>
      <c r="F380" s="453"/>
      <c r="G380" s="453"/>
      <c r="H380" s="453"/>
      <c r="I380" s="453"/>
      <c r="J380" s="453"/>
      <c r="K380" s="453"/>
      <c r="L380" s="453"/>
      <c r="M380" s="453"/>
      <c r="N380" s="453"/>
      <c r="O380" s="453"/>
    </row>
    <row r="381" spans="1:15" ht="3" customHeight="1" thickBot="1">
      <c r="A381" s="89"/>
      <c r="B381" s="365"/>
      <c r="C381" s="366"/>
      <c r="D381" s="366"/>
      <c r="E381" s="366"/>
      <c r="F381" s="367"/>
      <c r="G381" s="366"/>
      <c r="H381" s="366"/>
      <c r="I381" s="366"/>
      <c r="J381" s="366"/>
      <c r="K381" s="366"/>
      <c r="L381" s="366"/>
      <c r="M381" s="366"/>
      <c r="N381" s="366"/>
      <c r="O381" s="366"/>
    </row>
    <row r="382" spans="1:15" outlineLevel="1">
      <c r="B382" s="165" t="s">
        <v>171</v>
      </c>
      <c r="F382"/>
      <c r="O382" s="18"/>
    </row>
    <row r="383" spans="1:15" outlineLevel="1">
      <c r="F383"/>
      <c r="H383" s="3"/>
      <c r="I383" s="3"/>
      <c r="J383" s="3"/>
      <c r="K383" s="95" t="s">
        <v>2</v>
      </c>
      <c r="L383" s="19"/>
      <c r="M383" s="19"/>
      <c r="N383" s="19"/>
      <c r="O383" s="19"/>
    </row>
    <row r="384" spans="1:15" outlineLevel="1">
      <c r="F384"/>
      <c r="G384" s="202"/>
      <c r="H384" s="290"/>
      <c r="I384" s="290"/>
      <c r="J384" s="356">
        <f t="shared" ref="J384:O384" si="159">J$7</f>
        <v>2026</v>
      </c>
      <c r="K384" s="358">
        <f t="shared" si="159"/>
        <v>2027</v>
      </c>
      <c r="L384" s="358">
        <f t="shared" si="159"/>
        <v>2028</v>
      </c>
      <c r="M384" s="358">
        <f t="shared" si="159"/>
        <v>2029</v>
      </c>
      <c r="N384" s="358">
        <f t="shared" si="159"/>
        <v>2030</v>
      </c>
      <c r="O384" s="358">
        <f t="shared" si="159"/>
        <v>2031</v>
      </c>
    </row>
    <row r="385" spans="2:15" outlineLevel="1"/>
    <row r="386" spans="2:15" outlineLevel="1">
      <c r="C386" s="120" t="s">
        <v>220</v>
      </c>
    </row>
    <row r="387" spans="2:15" outlineLevel="1">
      <c r="D387" t="s">
        <v>7</v>
      </c>
      <c r="J387" s="184">
        <f>J95</f>
        <v>17.299999999999965</v>
      </c>
      <c r="K387" s="184">
        <f t="shared" ref="K387:O387" si="160">K95</f>
        <v>45.041301075268819</v>
      </c>
      <c r="L387" s="184">
        <f t="shared" si="160"/>
        <v>58.597929333333312</v>
      </c>
      <c r="M387" s="184">
        <f t="shared" si="160"/>
        <v>68.465583459760893</v>
      </c>
      <c r="N387" s="184">
        <f t="shared" si="160"/>
        <v>54.033299691137401</v>
      </c>
      <c r="O387" s="184">
        <f t="shared" si="160"/>
        <v>35.107455009600031</v>
      </c>
    </row>
    <row r="388" spans="2:15" outlineLevel="1">
      <c r="D388" t="s">
        <v>245</v>
      </c>
      <c r="J388" s="460">
        <f t="shared" ref="J388:O388" si="161">J387*$E$226</f>
        <v>6.0549999999999873</v>
      </c>
      <c r="K388" s="460">
        <f t="shared" si="161"/>
        <v>15.764455376344086</v>
      </c>
      <c r="L388" s="460">
        <f t="shared" si="161"/>
        <v>20.509275266666659</v>
      </c>
      <c r="M388" s="460">
        <f t="shared" si="161"/>
        <v>23.962954210916312</v>
      </c>
      <c r="N388" s="460">
        <f t="shared" si="161"/>
        <v>18.911654891898088</v>
      </c>
      <c r="O388" s="460">
        <f t="shared" si="161"/>
        <v>12.28760925336001</v>
      </c>
    </row>
    <row r="389" spans="2:15" outlineLevel="1">
      <c r="D389" s="120" t="s">
        <v>221</v>
      </c>
      <c r="J389" s="480">
        <f>J387-J388</f>
        <v>11.244999999999978</v>
      </c>
      <c r="K389" s="480">
        <f t="shared" ref="K389:O389" si="162">K387-K388</f>
        <v>29.276845698924731</v>
      </c>
      <c r="L389" s="480">
        <f t="shared" si="162"/>
        <v>38.088654066666649</v>
      </c>
      <c r="M389" s="480">
        <f t="shared" si="162"/>
        <v>44.502629248844585</v>
      </c>
      <c r="N389" s="480">
        <f t="shared" si="162"/>
        <v>35.121644799239313</v>
      </c>
      <c r="O389" s="480">
        <f t="shared" si="162"/>
        <v>22.819845756240021</v>
      </c>
    </row>
    <row r="390" spans="2:15" outlineLevel="1">
      <c r="D390" t="s">
        <v>222</v>
      </c>
      <c r="J390" s="184">
        <f>J94</f>
        <v>15.8</v>
      </c>
      <c r="K390" s="184">
        <f t="shared" ref="K390:O390" si="163">K94</f>
        <v>16.174666666666667</v>
      </c>
      <c r="L390" s="184">
        <f t="shared" si="163"/>
        <v>16.724666666666668</v>
      </c>
      <c r="M390" s="184">
        <f t="shared" si="163"/>
        <v>17.296333333333333</v>
      </c>
      <c r="N390" s="184">
        <f t="shared" si="163"/>
        <v>17.876333333333331</v>
      </c>
      <c r="O390" s="184">
        <f t="shared" si="163"/>
        <v>18.468</v>
      </c>
    </row>
    <row r="391" spans="2:15" outlineLevel="1">
      <c r="D391" t="s">
        <v>54</v>
      </c>
      <c r="J391" s="184">
        <f>J129</f>
        <v>-15.5</v>
      </c>
      <c r="K391" s="184">
        <f t="shared" ref="K391:O391" si="164">K129</f>
        <v>-16</v>
      </c>
      <c r="L391" s="184">
        <f t="shared" si="164"/>
        <v>-17</v>
      </c>
      <c r="M391" s="184">
        <f t="shared" si="164"/>
        <v>-17.3</v>
      </c>
      <c r="N391" s="184">
        <f t="shared" si="164"/>
        <v>-17.5</v>
      </c>
      <c r="O391" s="184">
        <f t="shared" si="164"/>
        <v>-18</v>
      </c>
    </row>
    <row r="392" spans="2:15" outlineLevel="1">
      <c r="D392" t="s">
        <v>223</v>
      </c>
      <c r="J392" s="461">
        <f>J275</f>
        <v>0</v>
      </c>
      <c r="K392" s="461">
        <f t="shared" ref="K392:O392" si="165">K275</f>
        <v>-0.40120216526734254</v>
      </c>
      <c r="L392" s="461">
        <f t="shared" si="165"/>
        <v>1.4953364265047995</v>
      </c>
      <c r="M392" s="461">
        <f t="shared" si="165"/>
        <v>2.0653267416041814</v>
      </c>
      <c r="N392" s="461">
        <f t="shared" si="165"/>
        <v>-0.69256189310365812</v>
      </c>
      <c r="O392" s="461">
        <f t="shared" si="165"/>
        <v>2.7771982810683369</v>
      </c>
    </row>
    <row r="393" spans="2:15" outlineLevel="1">
      <c r="D393" s="120" t="s">
        <v>220</v>
      </c>
      <c r="J393" s="463">
        <f>SUM(J389:J392)</f>
        <v>11.54499999999998</v>
      </c>
      <c r="K393" s="463">
        <f t="shared" ref="K393:O393" si="166">SUM(K389:K392)</f>
        <v>29.050310200324056</v>
      </c>
      <c r="L393" s="463">
        <f t="shared" si="166"/>
        <v>39.308657159838113</v>
      </c>
      <c r="M393" s="463">
        <f t="shared" si="166"/>
        <v>46.564289323782106</v>
      </c>
      <c r="N393" s="463">
        <f t="shared" si="166"/>
        <v>34.805416239468983</v>
      </c>
      <c r="O393" s="463">
        <f t="shared" si="166"/>
        <v>26.065044037308354</v>
      </c>
    </row>
    <row r="394" spans="2:15" outlineLevel="1"/>
    <row r="395" spans="2:15" outlineLevel="1"/>
    <row r="396" spans="2:15" outlineLevel="1"/>
    <row r="397" spans="2:15" outlineLevel="1"/>
    <row r="398" spans="2:15" outlineLevel="1"/>
    <row r="399" spans="2:15" outlineLevel="1">
      <c r="B399" s="10"/>
      <c r="C399" s="10"/>
      <c r="D399" s="10"/>
      <c r="E399" s="10"/>
      <c r="F399" s="130"/>
      <c r="G399" s="10"/>
      <c r="H399" s="10"/>
      <c r="I399" s="10"/>
      <c r="J399" s="10"/>
      <c r="K399" s="10"/>
      <c r="L399" s="10"/>
      <c r="M399" s="10"/>
      <c r="N399" s="10"/>
      <c r="O399" s="10"/>
    </row>
    <row r="401" spans="1:15" ht="12.75" customHeight="1">
      <c r="A401" s="88"/>
      <c r="B401" s="1"/>
      <c r="C401" s="3"/>
      <c r="D401" s="3"/>
      <c r="E401" s="3"/>
      <c r="F401" s="87"/>
      <c r="G401" s="3"/>
      <c r="H401" s="3"/>
      <c r="I401" s="3"/>
      <c r="J401" s="3"/>
      <c r="K401" s="3"/>
      <c r="L401" s="3"/>
      <c r="M401" s="3"/>
      <c r="N401" s="3"/>
      <c r="O401" s="131" t="str">
        <f>$O$1</f>
        <v>CURRENTLY RUNNING: BASE CASE SCENARIO</v>
      </c>
    </row>
    <row r="402" spans="1:15" ht="42" customHeight="1">
      <c r="B402" s="457" t="str">
        <f>B$2</f>
        <v>Blu Containers</v>
      </c>
      <c r="C402" s="457"/>
      <c r="D402" s="457"/>
      <c r="E402" s="457"/>
      <c r="F402" s="457"/>
      <c r="G402" s="457"/>
      <c r="H402" s="457"/>
      <c r="I402" s="457"/>
      <c r="J402" s="457"/>
      <c r="K402" s="457"/>
      <c r="L402" s="457"/>
      <c r="M402" s="457"/>
      <c r="N402" s="457"/>
      <c r="O402" s="457"/>
    </row>
    <row r="403" spans="1:15" ht="18">
      <c r="B403" s="453" t="s">
        <v>243</v>
      </c>
      <c r="C403" s="453"/>
      <c r="D403" s="453"/>
      <c r="E403" s="453"/>
      <c r="F403" s="453"/>
      <c r="G403" s="453"/>
      <c r="H403" s="453"/>
      <c r="I403" s="453"/>
      <c r="J403" s="453"/>
      <c r="K403" s="453"/>
      <c r="L403" s="453"/>
      <c r="M403" s="453"/>
      <c r="N403" s="453"/>
      <c r="O403" s="453"/>
    </row>
    <row r="404" spans="1:15" ht="3" customHeight="1" thickBot="1">
      <c r="A404" s="89"/>
      <c r="B404" s="365"/>
      <c r="C404" s="366"/>
      <c r="D404" s="366"/>
      <c r="E404" s="366"/>
      <c r="F404" s="367"/>
      <c r="G404" s="366"/>
      <c r="H404" s="366"/>
      <c r="I404" s="366"/>
      <c r="J404" s="366"/>
      <c r="K404" s="366"/>
      <c r="L404" s="366"/>
      <c r="M404" s="366"/>
      <c r="N404" s="366"/>
      <c r="O404" s="366"/>
    </row>
    <row r="405" spans="1:15" outlineLevel="1">
      <c r="B405" s="165" t="s">
        <v>171</v>
      </c>
      <c r="F405"/>
      <c r="O405" s="18"/>
    </row>
    <row r="406" spans="1:15" outlineLevel="1">
      <c r="F406"/>
      <c r="H406" s="3"/>
      <c r="I406" s="3"/>
      <c r="J406" s="3"/>
      <c r="K406" s="95" t="s">
        <v>2</v>
      </c>
      <c r="L406" s="19"/>
      <c r="M406" s="19"/>
      <c r="N406" s="19"/>
      <c r="O406" s="19"/>
    </row>
    <row r="407" spans="1:15" outlineLevel="1">
      <c r="F407"/>
      <c r="G407" s="202"/>
      <c r="H407" s="290"/>
      <c r="I407" s="290"/>
      <c r="J407" s="356">
        <f t="shared" ref="J407:O407" si="167">J$7</f>
        <v>2026</v>
      </c>
      <c r="K407" s="358">
        <f t="shared" si="167"/>
        <v>2027</v>
      </c>
      <c r="L407" s="358">
        <f t="shared" si="167"/>
        <v>2028</v>
      </c>
      <c r="M407" s="358">
        <f t="shared" si="167"/>
        <v>2029</v>
      </c>
      <c r="N407" s="358">
        <f t="shared" si="167"/>
        <v>2030</v>
      </c>
      <c r="O407" s="358">
        <f t="shared" si="167"/>
        <v>2031</v>
      </c>
    </row>
    <row r="408" spans="1:15" outlineLevel="1">
      <c r="C408" t="s">
        <v>220</v>
      </c>
      <c r="J408" s="479">
        <f>J393</f>
        <v>11.54499999999998</v>
      </c>
      <c r="K408" s="479">
        <f t="shared" ref="K408:O408" si="168">K393</f>
        <v>29.050310200324056</v>
      </c>
      <c r="L408" s="479">
        <f t="shared" si="168"/>
        <v>39.308657159838113</v>
      </c>
      <c r="M408" s="479">
        <f t="shared" si="168"/>
        <v>46.564289323782106</v>
      </c>
      <c r="N408" s="479">
        <f t="shared" si="168"/>
        <v>34.805416239468983</v>
      </c>
      <c r="O408" s="479">
        <f t="shared" si="168"/>
        <v>26.065044037308354</v>
      </c>
    </row>
    <row r="409" spans="1:15" outlineLevel="1">
      <c r="C409" t="s">
        <v>5</v>
      </c>
      <c r="O409" s="479">
        <f>O92</f>
        <v>53.575455009600034</v>
      </c>
    </row>
    <row r="410" spans="1:15" outlineLevel="1"/>
    <row r="411" spans="1:15" outlineLevel="1">
      <c r="C411" s="120" t="s">
        <v>224</v>
      </c>
    </row>
    <row r="412" spans="1:15" outlineLevel="1">
      <c r="D412" t="s">
        <v>225</v>
      </c>
      <c r="J412" s="479">
        <f>J408</f>
        <v>11.54499999999998</v>
      </c>
      <c r="K412" s="479">
        <f t="shared" ref="K412:O412" si="169">K408</f>
        <v>29.050310200324056</v>
      </c>
      <c r="L412" s="479">
        <f t="shared" si="169"/>
        <v>39.308657159838113</v>
      </c>
      <c r="M412" s="479">
        <f t="shared" si="169"/>
        <v>46.564289323782106</v>
      </c>
      <c r="N412" s="479">
        <f t="shared" si="169"/>
        <v>34.805416239468983</v>
      </c>
      <c r="O412" s="479">
        <f t="shared" si="169"/>
        <v>26.065044037308354</v>
      </c>
    </row>
    <row r="413" spans="1:15" outlineLevel="1">
      <c r="D413" t="s">
        <v>226</v>
      </c>
      <c r="J413" s="470">
        <v>0</v>
      </c>
      <c r="K413" s="470">
        <v>0</v>
      </c>
      <c r="L413" s="470">
        <v>0</v>
      </c>
      <c r="M413" s="470">
        <v>0</v>
      </c>
      <c r="N413" s="470">
        <v>0</v>
      </c>
      <c r="O413" s="479">
        <f>O409*E418</f>
        <v>375.02818506720024</v>
      </c>
    </row>
    <row r="414" spans="1:15" outlineLevel="1">
      <c r="D414" s="263" t="s">
        <v>227</v>
      </c>
      <c r="E414" s="264"/>
      <c r="F414" s="464"/>
      <c r="G414" s="264"/>
      <c r="H414" s="264"/>
      <c r="I414" s="264"/>
      <c r="J414" s="471">
        <f>SUM(J412:J413)</f>
        <v>11.54499999999998</v>
      </c>
      <c r="K414" s="471">
        <f t="shared" ref="K414:O414" si="170">SUM(K412:K413)</f>
        <v>29.050310200324056</v>
      </c>
      <c r="L414" s="471">
        <f t="shared" si="170"/>
        <v>39.308657159838113</v>
      </c>
      <c r="M414" s="471">
        <f t="shared" si="170"/>
        <v>46.564289323782106</v>
      </c>
      <c r="N414" s="471">
        <f t="shared" si="170"/>
        <v>34.805416239468983</v>
      </c>
      <c r="O414" s="471">
        <f t="shared" si="170"/>
        <v>401.09322910450862</v>
      </c>
    </row>
    <row r="415" spans="1:15" outlineLevel="1"/>
    <row r="416" spans="1:15" outlineLevel="1"/>
    <row r="417" spans="3:15" outlineLevel="1">
      <c r="C417" s="120" t="s">
        <v>228</v>
      </c>
      <c r="H417" s="120" t="s">
        <v>231</v>
      </c>
      <c r="M417" s="120" t="s">
        <v>232</v>
      </c>
    </row>
    <row r="418" spans="3:15" outlineLevel="1">
      <c r="D418" s="29" t="s">
        <v>229</v>
      </c>
      <c r="E418" s="468">
        <v>7</v>
      </c>
      <c r="H418" s="467" t="s">
        <v>233</v>
      </c>
      <c r="I418" s="4"/>
      <c r="J418" s="472">
        <f>NPV(E419,K412:O412)</f>
        <v>137.29067055521369</v>
      </c>
      <c r="K418" s="473">
        <f>J418/J420</f>
        <v>0.36031151452740307</v>
      </c>
      <c r="M418" s="29" t="s">
        <v>238</v>
      </c>
      <c r="N418" s="4"/>
      <c r="O418" s="475">
        <f>K426</f>
        <v>181.33325877689157</v>
      </c>
    </row>
    <row r="419" spans="3:15" outlineLevel="1">
      <c r="D419" s="11" t="s">
        <v>230</v>
      </c>
      <c r="E419" s="469">
        <v>0.09</v>
      </c>
      <c r="H419" s="465" t="s">
        <v>234</v>
      </c>
      <c r="J419" s="462">
        <f>NPV(E419,K413:O413)</f>
        <v>243.74258822167789</v>
      </c>
      <c r="K419" s="474">
        <f>J419/J420</f>
        <v>0.63968848547259705</v>
      </c>
      <c r="M419" s="5" t="s">
        <v>240</v>
      </c>
      <c r="O419" s="476">
        <f>Assumptions!N9</f>
        <v>14.8</v>
      </c>
    </row>
    <row r="420" spans="3:15" outlineLevel="1">
      <c r="H420" s="466" t="s">
        <v>235</v>
      </c>
      <c r="I420" s="10"/>
      <c r="J420" s="462">
        <f>SUM(J418:J419)</f>
        <v>381.03325877689156</v>
      </c>
      <c r="K420" s="474">
        <f>SUM(K418:K419)</f>
        <v>1</v>
      </c>
      <c r="M420" s="11" t="s">
        <v>238</v>
      </c>
      <c r="N420" s="429" t="s">
        <v>241</v>
      </c>
      <c r="O420" s="597">
        <f>O418/O419</f>
        <v>12.252247214654835</v>
      </c>
    </row>
    <row r="421" spans="3:15" outlineLevel="1"/>
    <row r="422" spans="3:15" outlineLevel="1"/>
    <row r="423" spans="3:15" outlineLevel="1">
      <c r="H423" s="120" t="s">
        <v>236</v>
      </c>
      <c r="M423" s="120" t="s">
        <v>239</v>
      </c>
    </row>
    <row r="424" spans="3:15" outlineLevel="1">
      <c r="H424" s="467" t="s">
        <v>235</v>
      </c>
      <c r="I424" s="4"/>
      <c r="J424" s="4"/>
      <c r="K424" s="475">
        <f>J420</f>
        <v>381.03325877689156</v>
      </c>
      <c r="M424" s="29" t="s">
        <v>247</v>
      </c>
      <c r="N424" s="4"/>
      <c r="O424" s="475">
        <f>O420</f>
        <v>12.252247214654835</v>
      </c>
    </row>
    <row r="425" spans="3:15" outlineLevel="1">
      <c r="H425" s="465" t="s">
        <v>237</v>
      </c>
      <c r="K425" s="476">
        <f>SUM(J171,J177)-SUM(J156)</f>
        <v>199.7</v>
      </c>
      <c r="M425" s="5" t="s">
        <v>248</v>
      </c>
      <c r="O425" s="598">
        <f>Assumptions!N8</f>
        <v>11.5</v>
      </c>
    </row>
    <row r="426" spans="3:15" outlineLevel="1">
      <c r="H426" s="466" t="s">
        <v>238</v>
      </c>
      <c r="I426" s="10"/>
      <c r="J426" s="10"/>
      <c r="K426" s="476">
        <f>K424-K425</f>
        <v>181.33325877689157</v>
      </c>
      <c r="M426" s="11" t="s">
        <v>249</v>
      </c>
      <c r="N426" s="10"/>
      <c r="O426" s="604">
        <f>O424/O425-1</f>
        <v>6.5412801274333576E-2</v>
      </c>
    </row>
    <row r="427" spans="3:15" outlineLevel="1">
      <c r="H427" s="441"/>
      <c r="K427" s="479"/>
    </row>
    <row r="428" spans="3:15" outlineLevel="1">
      <c r="C428" s="120" t="s">
        <v>242</v>
      </c>
      <c r="K428" s="93"/>
      <c r="M428" s="441"/>
    </row>
    <row r="429" spans="3:15" outlineLevel="1">
      <c r="K429" s="93"/>
      <c r="M429" s="441"/>
    </row>
    <row r="430" spans="3:15" outlineLevel="1">
      <c r="I430" s="482" t="s">
        <v>229</v>
      </c>
      <c r="J430" s="482"/>
      <c r="K430" s="482"/>
      <c r="L430" s="482"/>
      <c r="M430" s="482"/>
      <c r="N430" s="483"/>
    </row>
    <row r="431" spans="3:15" ht="12.75" customHeight="1" outlineLevel="1">
      <c r="H431" s="619" t="s">
        <v>230</v>
      </c>
      <c r="I431" s="576">
        <f>O420</f>
        <v>12.252247214654835</v>
      </c>
      <c r="J431" s="577">
        <v>5</v>
      </c>
      <c r="K431" s="577">
        <v>6</v>
      </c>
      <c r="L431" s="577">
        <v>7</v>
      </c>
      <c r="M431" s="577">
        <v>8</v>
      </c>
      <c r="N431" s="578">
        <v>9</v>
      </c>
    </row>
    <row r="432" spans="3:15" ht="12.75" customHeight="1" outlineLevel="1">
      <c r="H432" s="619"/>
      <c r="I432" s="484">
        <v>7.0000000000000007E-2</v>
      </c>
      <c r="J432" s="579">
        <f t="shared" ref="J432:N436" si="171">(NPV($I432,$K$412:$O$412)+$O$409*J$431/(1+$I432)^5-$K$425)/$O$419</f>
        <v>9.1840238598981223</v>
      </c>
      <c r="K432" s="580">
        <f t="shared" si="171"/>
        <v>11.765007574857169</v>
      </c>
      <c r="L432" s="580">
        <f t="shared" si="171"/>
        <v>14.345991289816215</v>
      </c>
      <c r="M432" s="580">
        <f t="shared" si="171"/>
        <v>16.926975004775262</v>
      </c>
      <c r="N432" s="581">
        <f t="shared" si="171"/>
        <v>19.507958719734308</v>
      </c>
    </row>
    <row r="433" spans="2:15" outlineLevel="1">
      <c r="H433" s="619"/>
      <c r="I433" s="484">
        <v>0.08</v>
      </c>
      <c r="J433" s="582">
        <f t="shared" si="171"/>
        <v>8.3445088185644494</v>
      </c>
      <c r="K433" s="583">
        <f t="shared" si="171"/>
        <v>10.808194930251712</v>
      </c>
      <c r="L433" s="583">
        <f t="shared" si="171"/>
        <v>13.271881041938986</v>
      </c>
      <c r="M433" s="583">
        <f t="shared" si="171"/>
        <v>15.735567153626254</v>
      </c>
      <c r="N433" s="584">
        <f t="shared" si="171"/>
        <v>18.199253265313526</v>
      </c>
    </row>
    <row r="434" spans="2:15" outlineLevel="1">
      <c r="H434" s="619"/>
      <c r="I434" s="484">
        <v>0.09</v>
      </c>
      <c r="J434" s="582">
        <f t="shared" si="171"/>
        <v>7.546791843579971</v>
      </c>
      <c r="K434" s="583">
        <f t="shared" si="171"/>
        <v>9.8995195291174038</v>
      </c>
      <c r="L434" s="585">
        <f t="shared" si="171"/>
        <v>12.252247214654835</v>
      </c>
      <c r="M434" s="583">
        <f t="shared" si="171"/>
        <v>14.604974900192264</v>
      </c>
      <c r="N434" s="584">
        <f t="shared" si="171"/>
        <v>16.957702585729695</v>
      </c>
    </row>
    <row r="435" spans="2:15" outlineLevel="1">
      <c r="H435" s="619"/>
      <c r="I435" s="484">
        <v>0.1</v>
      </c>
      <c r="J435" s="582">
        <f t="shared" si="171"/>
        <v>6.788373477905334</v>
      </c>
      <c r="K435" s="583">
        <f t="shared" si="171"/>
        <v>9.0360858027740587</v>
      </c>
      <c r="L435" s="583">
        <f t="shared" si="171"/>
        <v>11.283798127642781</v>
      </c>
      <c r="M435" s="583">
        <f t="shared" si="171"/>
        <v>13.531510452511503</v>
      </c>
      <c r="N435" s="584">
        <f t="shared" si="171"/>
        <v>15.779222777380223</v>
      </c>
    </row>
    <row r="436" spans="2:15" outlineLevel="1">
      <c r="H436" s="619"/>
      <c r="I436" s="484">
        <v>0.11</v>
      </c>
      <c r="J436" s="586">
        <f t="shared" si="171"/>
        <v>6.0669264196781461</v>
      </c>
      <c r="K436" s="584">
        <f t="shared" si="171"/>
        <v>8.2151983741908978</v>
      </c>
      <c r="L436" s="584">
        <f t="shared" si="171"/>
        <v>10.36347032870365</v>
      </c>
      <c r="M436" s="584">
        <f t="shared" si="171"/>
        <v>12.5117422832164</v>
      </c>
      <c r="N436" s="584">
        <f t="shared" si="171"/>
        <v>14.660014237729147</v>
      </c>
    </row>
    <row r="437" spans="2:15" outlineLevel="1">
      <c r="B437" s="10"/>
      <c r="C437" s="10"/>
      <c r="D437" s="10"/>
      <c r="E437" s="10"/>
      <c r="F437" s="130"/>
      <c r="G437" s="10"/>
      <c r="H437" s="10"/>
      <c r="I437" s="10"/>
      <c r="J437" s="10"/>
      <c r="K437" s="10"/>
      <c r="L437" s="10"/>
      <c r="M437" s="10"/>
      <c r="N437" s="10"/>
      <c r="O437" s="10"/>
    </row>
  </sheetData>
  <sheetProtection formatCells="0" formatColumns="0" formatRows="0" insertColumns="0" insertRows="0"/>
  <scenarios current="0" show="0">
    <scenario name="Sceneario Analysis" locked="1" count="2" user="Chungu Kapambwe" comment="Created by Chungu Kapambwe on 09/06/2026_x000a_Modified by Chungu Kapambwe on 09/06/2026">
      <inputCells r="E418" val="6,7,8,9" numFmtId="199"/>
      <inputCells r="E419" val="0.07,0.08,0.09,0.1" numFmtId="10"/>
    </scenario>
  </scenarios>
  <mergeCells count="1">
    <mergeCell ref="H431:H436"/>
  </mergeCells>
  <phoneticPr fontId="0" type="noConversion"/>
  <conditionalFormatting sqref="J432:M435">
    <cfRule type="cellIs" dxfId="0" priority="1" operator="equal">
      <formula>$O$420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orientation="landscape" r:id="rId1"/>
  <headerFooter>
    <oddFooter>&amp;L&amp;8&amp;F&amp;CPage &amp;P of &amp;N&amp;R&amp;D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f44690-06d1-49fb-852d-53eb500a6f07">
      <Terms xmlns="http://schemas.microsoft.com/office/infopath/2007/PartnerControls"/>
    </lcf76f155ced4ddcb4097134ff3c332f>
    <TaxCatchAll xmlns="7c7e0179-495a-4ef3-8969-463b3802bca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898D8306A1034782492F3567A273F2" ma:contentTypeVersion="12" ma:contentTypeDescription="Create a new document." ma:contentTypeScope="" ma:versionID="4c5b699968f7936cc9e2b89b7e5f9cbe">
  <xsd:schema xmlns:xsd="http://www.w3.org/2001/XMLSchema" xmlns:xs="http://www.w3.org/2001/XMLSchema" xmlns:p="http://schemas.microsoft.com/office/2006/metadata/properties" xmlns:ns2="90f44690-06d1-49fb-852d-53eb500a6f07" xmlns:ns3="7c7e0179-495a-4ef3-8969-463b3802bcab" targetNamespace="http://schemas.microsoft.com/office/2006/metadata/properties" ma:root="true" ma:fieldsID="dadd706c7ce454de55746a2a3b085249" ns2:_="" ns3:_="">
    <xsd:import namespace="90f44690-06d1-49fb-852d-53eb500a6f07"/>
    <xsd:import namespace="7c7e0179-495a-4ef3-8969-463b3802bc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f44690-06d1-49fb-852d-53eb500a6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571d408-0d8c-48a4-adcf-444c1a3db9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e0179-495a-4ef3-8969-463b3802bca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205484f-7026-451c-87e6-e05ed3f56675}" ma:internalName="TaxCatchAll" ma:showField="CatchAllData" ma:web="7c7e0179-495a-4ef3-8969-463b3802bc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9E450A-0AD5-4057-8FCE-28839633CB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85162E-4F6A-4F9A-AA32-41B2CBEE217C}">
  <ds:schemaRefs>
    <ds:schemaRef ds:uri="http://schemas.microsoft.com/office/infopath/2007/PartnerControls"/>
    <ds:schemaRef ds:uri="http://schemas.openxmlformats.org/package/2006/metadata/core-properties"/>
    <ds:schemaRef ds:uri="7c7e0179-495a-4ef3-8969-463b3802bcab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90f44690-06d1-49fb-852d-53eb500a6f0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47B2F2C-E8EE-4BB5-A717-F682100019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f44690-06d1-49fb-852d-53eb500a6f07"/>
    <ds:schemaRef ds:uri="7c7e0179-495a-4ef3-8969-463b3802bc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Cover</vt:lpstr>
      <vt:lpstr>Summary</vt:lpstr>
      <vt:lpstr>Assumptions</vt:lpstr>
      <vt:lpstr>Scenarios</vt:lpstr>
      <vt:lpstr>Model</vt:lpstr>
      <vt:lpstr>Assumptions!Print_Area</vt:lpstr>
      <vt:lpstr>Cover!Print_Area</vt:lpstr>
      <vt:lpstr>Model!Print_Area</vt:lpstr>
      <vt:lpstr>Scenarios!Print_Area</vt:lpstr>
      <vt:lpstr>Summary!Print_Area</vt:lpstr>
    </vt:vector>
  </TitlesOfParts>
  <Company>Financial Modeling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Schnoor</dc:creator>
  <cp:lastModifiedBy>Chungu Kapambwe</cp:lastModifiedBy>
  <cp:lastPrinted>2026-09-14T10:35:17Z</cp:lastPrinted>
  <dcterms:created xsi:type="dcterms:W3CDTF">2018-03-28T17:44:41Z</dcterms:created>
  <dcterms:modified xsi:type="dcterms:W3CDTF">2026-09-14T10:35:20Z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0x01010023898D8306A1034782492F3567A273F2</vt:lpwstr>
  </property>
</Properties>
</file>